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hocompanycomtn-my.sharepoint.com/personal/imed_ghodhbeni_cho_com_tn/Documents/Bureau/py.2/"/>
    </mc:Choice>
  </mc:AlternateContent>
  <xr:revisionPtr revIDLastSave="1" documentId="13_ncr:1_{C544F6B2-192A-4BA6-BC47-AD4D71A5AF6D}" xr6:coauthVersionLast="47" xr6:coauthVersionMax="47" xr10:uidLastSave="{2E49C0F4-DD3F-4E78-9FC7-76D25BBB9590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9" l="1"/>
  <c r="C8" i="9"/>
  <c r="B8" i="9"/>
  <c r="E8" i="9"/>
  <c r="E7" i="9"/>
  <c r="E6" i="9"/>
  <c r="A2" i="10"/>
  <c r="B1" i="10"/>
  <c r="C7" i="9"/>
  <c r="B7" i="9"/>
  <c r="A7" i="9"/>
  <c r="C6" i="9"/>
  <c r="B6" i="9"/>
  <c r="A6" i="9"/>
  <c r="D1" i="10" s="1"/>
  <c r="E5" i="9"/>
  <c r="C5" i="9"/>
  <c r="B5" i="9"/>
  <c r="A5" i="9"/>
  <c r="E4" i="9"/>
  <c r="C4" i="9"/>
  <c r="B4" i="9"/>
  <c r="A4" i="9"/>
  <c r="E3" i="9"/>
  <c r="C3" i="9"/>
  <c r="B3" i="9"/>
  <c r="A3" i="9"/>
  <c r="C1" i="10" s="1"/>
  <c r="C2" i="9"/>
  <c r="B2" i="9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4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<sst xmlns="http://schemas.openxmlformats.org/spreadsheetml/2006/main" count="389" uniqueCount="182">
  <si>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</si>
  <si>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</si>
  <si>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</si>
  <si>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</si>
  <si>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</si>
  <si>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</si>
  <si>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</si>
  <si>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</si>
  <si>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</si>
  <si>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</si>
  <si>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</si>
  <si>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</si>
  <si>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</si>
  <si>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</si>
  <si>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</si>
  <si>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</si>
  <si>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</si>
  <si>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</si>
  <si>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</si>
  <si>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</si>
  <si>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</si>
  <si>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</si>
  <si>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</si>
  <si>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</si>
  <si>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</si>
  <si>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</si>
  <si>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</si>
  <si>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</si>
  <si>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</si>
  <si>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</si>
  <si>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</si>
  <si>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</si>
  <si>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</si>
  <si>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</si>
  <si>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</si>
  <si>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</si>
  <si>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</si>
  <si>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</si>
  <si>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</si>
  <si>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</si>
  <si>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</si>
  <si>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</si>
  <si>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</si>
  <si>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</si>
  <si>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</si>
  <si>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</si>
  <si>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</si>
  <si>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</si>
  <si>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</si>
  <si>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</si>
  <si>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</si>
  <si>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</si>
  <si>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</si>
  <si>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</si>
  <si>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</si>
  <si>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</si>
  <si>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</si>
  <si>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</si>
  <si>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</si>
  <si>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</si>
  <si>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</si>
  <si>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</si>
  <si>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</si>
  <si>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</si>
  <si>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</si>
  <si>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</si>
  <si>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</si>
  <si>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</si>
  <si>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</si>
  <si>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</si>
  <si>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</si>
  <si>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</si>
  <si>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</si>
  <si>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</si>
  <si>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</si>
  <si>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</si>
  <si>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</si>
  <si>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</si>
  <si>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</si>
  <si>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</si>
  <si>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</si>
  <si>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</si>
  <si>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</si>
  <si>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</si>
  <si>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</si>
  <si>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</si>
  <si>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</si>
  <si>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</si>
  <si>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</si>
  <si>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</si>
  <si>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</si>
  <si>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</si>
  <si>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</si>
  <si>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</si>
  <si>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</si>
  <si>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</si>
  <si>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</si>
  <si>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</si>
  <si>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</si>
  <si>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</si>
  <si>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</si>
  <si>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</si>
  <si>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</si>
  <si>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</si>
  <si>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</si>
  <si>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</si>
  <si>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</si>
  <si>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</si>
  <si>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</si>
  <si>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</si>
  <si>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</si>
  <si>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</si>
  <si>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</si>
  <si>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</si>
  <si>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</si>
  <si>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</si>
  <si>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</si>
  <si>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</si>
  <si>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</si>
  <si>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</si>
  <si>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</si>
  <si>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</si>
  <si>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</si>
  <si>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</si>
  <si>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</si>
  <si>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</si>
  <si>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</si>
  <si>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</si>
  <si>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</si>
  <si>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S02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</si>
  <si>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</si>
  <si>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</si>
  <si>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</si>
  <si>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</si>
  <si>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</si>
  <si>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</si>
  <si>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</si>
  <si>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</si>
  <si>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</si>
  <si>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</si>
  <si>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</si>
  <si>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</si>
  <si>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</si>
  <si>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</si>
  <si>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</si>
  <si>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</si>
  <si>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</si>
  <si>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</si>
  <si>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</si>
  <si>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</si>
  <si>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</si>
  <si>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</si>
  <si>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</si>
  <si>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</si>
  <si>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</si>
  <si>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</si>
  <si>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</si>
  <si>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</si>
  <si>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</si>
  <si>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</si>
  <si>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</si>
  <si>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</si>
  <si>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</si>
  <si>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</si>
  <si>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</si>
  <si>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</si>
  <si>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</si>
  <si>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</si>
  <si>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</si>
  <si>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</si>
  <si>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</si>
  <si>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</si>
  <si>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</si>
  <si>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</si>
  <si>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S06</t>
  </si>
  <si>
    <t>LoadingTimePerTon</t>
  </si>
  <si>
    <t xml:space="preserve">T_max_P1    </t>
  </si>
  <si>
    <t xml:space="preserve">T_max_P2    </t>
  </si>
  <si>
    <t xml:space="preserve">T_max_P3    </t>
  </si>
  <si>
    <t xml:space="preserve">T_max_P4    </t>
  </si>
  <si>
    <t xml:space="preserve">T_max_P5    </t>
  </si>
  <si>
    <t xml:space="preserve">T_max_P6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</si>
</sst>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4" fillId="4" borderId="0" xfId="0" applyNumberFormat="1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23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23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23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23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9F72FAD-FD99-78B1-0DEA-DC3D06C488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37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76D3BDB7-8ABD-7108-E394-A8CC49F7AC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A0243A8D-7725-E218-5750-3F51B65733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358140</xdr:colOff>
      <xdr:row>50</xdr:row>
      <xdr:rowOff>7620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B49B2DF7-2029-4F0D-AC6E-B12546F552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5039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46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DB0FCBD9-7FC0-4965-ECC9-E7EBB73A5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1E13E4F8-9220-5022-127F-365F57BCDC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96B81540-5389-860B-71E4-7293588950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15240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F0CA56E8-21E5-4854-BE94-D83145F0EA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DE0DFA3-1D92-4A5F-4A2C-95E8F2FA95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4605527B-C609-D500-C962-2AA1D0CAB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C03BD843-EECF-69BD-B582-E2350EF515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EA991A93-ABE4-491C-8D5C-F538774940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9912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09375" defaultRowHeight="14.4" x14ac:dyDescent="0.3"/>
  <cols>
    <col min="1" max="1" width="29" customWidth="1"/>
    <col min="2" max="2" width="30" customWidth="1"/>
  </cols>
  <sheetData>
    <row r="1" spans="1:2" ht="36" x14ac:dyDescent="0.3">
      <c r="A1" s="1" t="s">
        <v>0</v>
      </c>
      <c r="B1" s="2" t="s">
        <v>1</v>
      </c>
    </row>
    <row r="2" spans="1:2" ht="72" x14ac:dyDescent="0.3">
      <c r="A2" s="3" t="s">
        <v>2</v>
      </c>
      <c r="B2" s="2" t="s">
        <v>3</v>
      </c>
    </row>
    <row r="3" spans="1:2" ht="28.8" x14ac:dyDescent="0.3">
      <c r="A3" s="3" t="s">
        <v>4</v>
      </c>
      <c r="B3" s="2" t="s">
        <v>5</v>
      </c>
    </row>
    <row r="4" spans="1:2" ht="43.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1</v>
      </c>
    </row>
    <row r="6" spans="1:2" ht="43.2" x14ac:dyDescent="0.3">
      <c r="A6" s="3" t="s">
        <v>9</v>
      </c>
      <c r="B6" s="2" t="s">
        <v>10</v>
      </c>
    </row>
    <row r="7" spans="1:2" ht="43.2" x14ac:dyDescent="0.3">
      <c r="A7" s="3" t="s">
        <v>11</v>
      </c>
      <c r="B7" s="2" t="s">
        <v>12</v>
      </c>
    </row>
    <row r="8" spans="1:2" ht="57.6" x14ac:dyDescent="0.3">
      <c r="A8" s="3" t="s">
        <v>13</v>
      </c>
      <c r="B8" s="2" t="s">
        <v>14</v>
      </c>
    </row>
    <row r="9" spans="1:2" ht="43.2" x14ac:dyDescent="0.3">
      <c r="A9" s="3" t="s">
        <v>15</v>
      </c>
      <c r="B9" s="2" t="s">
        <v>16</v>
      </c>
    </row>
    <row r="10" spans="1:2" ht="57.6" x14ac:dyDescent="0.3">
      <c r="A10" s="3" t="s">
        <v>17</v>
      </c>
      <c r="B10" s="2" t="s">
        <v>18</v>
      </c>
    </row>
    <row r="11" spans="1:2" ht="43.2" x14ac:dyDescent="0.3">
      <c r="A11" s="3" t="s">
        <v>19</v>
      </c>
      <c r="B11" s="2" t="s">
        <v>20</v>
      </c>
    </row>
    <row r="12" spans="1:2" ht="43.2" x14ac:dyDescent="0.3">
      <c r="A12" s="3" t="s">
        <v>21</v>
      </c>
      <c r="B12" s="2" t="s">
        <v>22</v>
      </c>
    </row>
    <row r="13" spans="1:2" ht="57.6" x14ac:dyDescent="0.3">
      <c r="A13" s="3" t="s">
        <v>23</v>
      </c>
      <c r="B13" s="2" t="s">
        <v>24</v>
      </c>
    </row>
    <row r="14" spans="1:2" ht="72" x14ac:dyDescent="0.3">
      <c r="A14" s="3" t="s">
        <v>25</v>
      </c>
      <c r="B14" s="2" t="s">
        <v>26</v>
      </c>
    </row>
    <row r="15" spans="1:2" ht="43.2" x14ac:dyDescent="0.3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09375" defaultRowHeight="14.4" x14ac:dyDescent="0.3"/>
  <cols>
    <col min="1" max="1" width="16" customWidth="1"/>
  </cols>
  <sheetData>
    <row r="1" spans="1:1" x14ac:dyDescent="0.3">
      <c r="A1" s="4" t="s">
        <v>29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  <row r="5" spans="1:1" x14ac:dyDescent="0.3">
      <c r="A5" s="2" t="s">
        <v>33</v>
      </c>
    </row>
    <row r="6" spans="1:1" x14ac:dyDescent="0.3">
      <c r="A6" s="2"/>
    </row>
    <row r="7" spans="1:1" x14ac:dyDescent="0.3">
      <c r="A7" s="4" t="s">
        <v>34</v>
      </c>
    </row>
    <row r="8" spans="1:1" x14ac:dyDescent="0.3">
      <c r="A8" s="2" t="s">
        <v>35</v>
      </c>
    </row>
    <row r="9" spans="1:1" x14ac:dyDescent="0.3">
      <c r="A9" s="2" t="s">
        <v>36</v>
      </c>
    </row>
    <row r="10" spans="1:1" x14ac:dyDescent="0.3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09375" defaultRowHeight="14.4" x14ac:dyDescent="0.3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3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3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3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3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3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3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3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3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3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3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3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3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abSelected="1" topLeftCell="A19" workbookViewId="0">
      <selection activeCell="A32" sqref="A32:B37"/>
    </sheetView>
  </sheetViews>
  <sheetFormatPr baseColWidth="10" defaultColWidth="9.109375" defaultRowHeight="14.4" x14ac:dyDescent="0.3"/>
  <cols>
    <col min="1" max="2" width="30" customWidth="1"/>
    <col min="3" max="3" width="10" customWidth="1"/>
    <col min="4" max="4" width="30" customWidth="1"/>
  </cols>
  <sheetData>
    <row r="1" spans="1:4" x14ac:dyDescent="0.3">
      <c r="A1" s="5" t="s">
        <v>84</v>
      </c>
      <c r="B1" s="5" t="s">
        <v>85</v>
      </c>
      <c r="C1" s="5" t="s">
        <v>86</v>
      </c>
      <c r="D1" s="5" t="s">
        <v>87</v>
      </c>
    </row>
    <row r="2" spans="1:4" ht="28.8" x14ac:dyDescent="0.3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3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3">
      <c r="A4" s="2" t="s">
        <v>40</v>
      </c>
      <c r="B4" s="7">
        <f>INDEX(Instance_Catalog!$C$2:$C$13,MATCH(B2,Instance_Catalog!$A$2:$A$13,0))</f>
        <v>16</v>
      </c>
      <c r="C4" s="2" t="s">
        <v>91</v>
      </c>
      <c r="D4" s="2" t="s">
        <v>92</v>
      </c>
    </row>
    <row r="5" spans="1:4" x14ac:dyDescent="0.3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3">
      <c r="A6" s="12" t="s">
        <v>175</v>
      </c>
      <c r="B6" s="13">
        <v>1</v>
      </c>
      <c r="C6" s="2" t="s">
        <v>91</v>
      </c>
      <c r="D6" s="2" t="s">
        <v>92</v>
      </c>
    </row>
    <row r="7" spans="1:4" x14ac:dyDescent="0.3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3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3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3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3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3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3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3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3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3">
      <c r="A16" s="2" t="s">
        <v>95</v>
      </c>
      <c r="B16" s="8">
        <v>50</v>
      </c>
      <c r="C16" s="2" t="s">
        <v>89</v>
      </c>
      <c r="D16" s="2" t="s">
        <v>96</v>
      </c>
    </row>
    <row r="17" spans="1:4" ht="28.8" x14ac:dyDescent="0.3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3">
      <c r="A18" s="2" t="s">
        <v>99</v>
      </c>
      <c r="B18" s="8">
        <v>1</v>
      </c>
      <c r="C18" s="2" t="s">
        <v>89</v>
      </c>
      <c r="D18" s="2" t="s">
        <v>100</v>
      </c>
    </row>
    <row r="19" spans="1:4" ht="43.2" x14ac:dyDescent="0.3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3">
      <c r="A20" s="2"/>
      <c r="B20" s="2"/>
      <c r="C20" s="2"/>
      <c r="D20" s="2"/>
    </row>
    <row r="21" spans="1:4" x14ac:dyDescent="0.3">
      <c r="A21" s="3" t="s">
        <v>105</v>
      </c>
      <c r="B21" s="3"/>
      <c r="C21" s="3"/>
      <c r="D21" s="3"/>
    </row>
    <row r="22" spans="1:4" x14ac:dyDescent="0.3">
      <c r="A22" s="2" t="s">
        <v>106</v>
      </c>
      <c r="B22" s="10">
        <f>SUM(Suppliers!E2:E6)</f>
        <v>4.5</v>
      </c>
      <c r="C22" s="2" t="s">
        <v>91</v>
      </c>
      <c r="D22" s="2" t="s">
        <v>107</v>
      </c>
    </row>
    <row r="23" spans="1:4" x14ac:dyDescent="0.3">
      <c r="A23" s="2" t="s">
        <v>108</v>
      </c>
      <c r="B23" s="10">
        <f>SUM(Suppliers!F2:F6)</f>
        <v>1.5</v>
      </c>
      <c r="C23" s="2" t="s">
        <v>91</v>
      </c>
      <c r="D23" s="2" t="s">
        <v>107</v>
      </c>
    </row>
    <row r="24" spans="1:4" x14ac:dyDescent="0.3">
      <c r="A24" s="2" t="s">
        <v>109</v>
      </c>
      <c r="B24" s="10">
        <f>SUM(Suppliers!G2:G6)</f>
        <v>4.5</v>
      </c>
      <c r="C24" s="2" t="s">
        <v>91</v>
      </c>
      <c r="D24" s="2" t="s">
        <v>107</v>
      </c>
    </row>
    <row r="25" spans="1:4" ht="28.8" x14ac:dyDescent="0.3">
      <c r="A25" s="2" t="s">
        <v>110</v>
      </c>
      <c r="B25" s="7">
        <f>COUNTIFS(Fleet!D2:D3,1)+COUNTIFS(Fleet!E2:E3,1)+COUNTIFS(Fleet!F2:F3,1)</f>
        <v>6</v>
      </c>
      <c r="C25" s="2" t="s">
        <v>91</v>
      </c>
      <c r="D25" s="2" t="s">
        <v>111</v>
      </c>
    </row>
    <row r="26" spans="1:4" x14ac:dyDescent="0.3">
      <c r="A26" s="2" t="s">
        <v>112</v>
      </c>
      <c r="B26" s="10">
        <f>SUMPRODUCT(Fleet!$C$2:$C$3,Fleet!$D$2:$D$3)*$B$17</f>
        <v>60</v>
      </c>
      <c r="C26" s="2" t="s">
        <v>91</v>
      </c>
      <c r="D26" s="2" t="s">
        <v>113</v>
      </c>
    </row>
    <row r="27" spans="1:4" x14ac:dyDescent="0.3">
      <c r="A27" s="2" t="s">
        <v>114</v>
      </c>
      <c r="B27" s="10">
        <f>SUMPRODUCT(Fleet!$C$2:$C$3,Fleet!$E$2:$E$3)*$B$17</f>
        <v>60</v>
      </c>
      <c r="C27" s="2" t="s">
        <v>91</v>
      </c>
      <c r="D27" s="2" t="s">
        <v>113</v>
      </c>
    </row>
    <row r="28" spans="1:4" x14ac:dyDescent="0.3">
      <c r="A28" s="2" t="s">
        <v>115</v>
      </c>
      <c r="B28" s="10">
        <f>SUMPRODUCT(Fleet!$C$2:$C$3,Fleet!$F$2:$F$3)*$B$17</f>
        <v>60</v>
      </c>
      <c r="C28" s="2" t="s">
        <v>91</v>
      </c>
      <c r="D28" s="2" t="s">
        <v>113</v>
      </c>
    </row>
    <row r="29" spans="1:4" x14ac:dyDescent="0.3">
      <c r="A29" s="2" t="s">
        <v>116</v>
      </c>
      <c r="B29" s="10">
        <f>IF(B26=0,"",B22/B26)</f>
        <v>7.4999999999999997E-2</v>
      </c>
      <c r="C29" s="2" t="s">
        <v>91</v>
      </c>
      <c r="D29" s="2" t="s">
        <v>117</v>
      </c>
    </row>
    <row r="30" spans="1:4" x14ac:dyDescent="0.3">
      <c r="A30" s="2" t="s">
        <v>118</v>
      </c>
      <c r="B30" s="10">
        <f>IF(B27=0,"",B23/B27)</f>
        <v>2.5000000000000001E-2</v>
      </c>
      <c r="C30" s="2" t="s">
        <v>91</v>
      </c>
      <c r="D30" s="2" t="s">
        <v>117</v>
      </c>
    </row>
    <row r="31" spans="1:4" x14ac:dyDescent="0.3">
      <c r="A31" s="2" t="s">
        <v>119</v>
      </c>
      <c r="B31" s="10">
        <f>IF(B28=0,"",B24/B28)</f>
        <v>7.4999999999999997E-2</v>
      </c>
      <c r="C31" s="2" t="s">
        <v>91</v>
      </c>
      <c r="D31" s="2" t="s">
        <v>117</v>
      </c>
    </row>
    <row r="32" spans="1:4" x14ac:dyDescent="0.3">
      <c r="A32" t="s">
        <v>176</v>
      </c>
      <c r="B32">
        <v>540</v>
      </c>
    </row>
    <row r="33" spans="1:2" x14ac:dyDescent="0.3">
      <c r="A33" t="s">
        <v>177</v>
      </c>
      <c r="B33">
        <v>540</v>
      </c>
    </row>
    <row r="34" spans="1:2" x14ac:dyDescent="0.3">
      <c r="A34" t="s">
        <v>178</v>
      </c>
      <c r="B34">
        <v>540</v>
      </c>
    </row>
    <row r="35" spans="1:2" x14ac:dyDescent="0.3">
      <c r="A35" t="s">
        <v>179</v>
      </c>
      <c r="B35">
        <v>540</v>
      </c>
    </row>
    <row r="36" spans="1:2" x14ac:dyDescent="0.3">
      <c r="A36" t="s">
        <v>180</v>
      </c>
      <c r="B36">
        <v>540</v>
      </c>
    </row>
    <row r="37" spans="1:2" x14ac:dyDescent="0.3">
      <c r="A37" t="s">
        <v>181</v>
      </c>
      <c r="B37">
        <v>540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topLeftCell="B1" workbookViewId="0">
      <selection activeCell="E2" sqref="E2:J19"/>
    </sheetView>
  </sheetViews>
  <sheetFormatPr baseColWidth="10" defaultColWidth="9.109375" defaultRowHeight="14.4" x14ac:dyDescent="0.3"/>
  <cols>
    <col min="1" max="1" width="13" customWidth="1"/>
    <col min="2" max="4" width="10" customWidth="1"/>
    <col min="5" max="5" width="13" customWidth="1"/>
    <col min="6" max="10" width="12.5546875" bestFit="1" customWidth="1"/>
    <col min="11" max="11" width="13" customWidth="1"/>
    <col min="12" max="12" width="6.33203125" bestFit="1" customWidth="1"/>
  </cols>
  <sheetData>
    <row r="1" spans="1:12" ht="28.8" x14ac:dyDescent="0.3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162</v>
      </c>
      <c r="I1" s="5" t="s">
        <v>163</v>
      </c>
      <c r="J1" s="5" t="s">
        <v>164</v>
      </c>
      <c r="K1" s="5" t="s">
        <v>127</v>
      </c>
      <c r="L1" s="5" t="s">
        <v>87</v>
      </c>
    </row>
    <row r="2" spans="1:12" x14ac:dyDescent="0.3">
      <c r="A2" s="2" t="s">
        <v>128</v>
      </c>
      <c r="B2" s="8">
        <v>18</v>
      </c>
      <c r="C2" s="8">
        <v>82</v>
      </c>
      <c r="D2" s="6" t="s">
        <v>30</v>
      </c>
      <c r="E2" s="11">
        <v>4.5</v>
      </c>
      <c r="F2" s="11">
        <v>1.5</v>
      </c>
      <c r="G2" s="11">
        <v>4.5</v>
      </c>
      <c r="H2" s="11">
        <v>4.55</v>
      </c>
      <c r="I2" s="11">
        <v>0</v>
      </c>
      <c r="J2" s="11">
        <v>5</v>
      </c>
    </row>
    <row r="3" spans="1:12" x14ac:dyDescent="0.3">
      <c r="A3" s="2" t="s">
        <v>128</v>
      </c>
      <c r="B3" s="8">
        <v>18</v>
      </c>
      <c r="C3" s="8">
        <v>82</v>
      </c>
      <c r="D3" s="6" t="s">
        <v>31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</row>
    <row r="4" spans="1:12" x14ac:dyDescent="0.3">
      <c r="A4" s="2" t="s">
        <v>128</v>
      </c>
      <c r="B4" s="8">
        <v>18</v>
      </c>
      <c r="C4" s="8">
        <v>82</v>
      </c>
      <c r="D4" s="6" t="s">
        <v>33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</row>
    <row r="5" spans="1:12" x14ac:dyDescent="0.3">
      <c r="A5" s="2" t="s">
        <v>129</v>
      </c>
      <c r="B5" s="8">
        <v>28</v>
      </c>
      <c r="C5" s="8">
        <v>68</v>
      </c>
      <c r="D5" s="6" t="s">
        <v>30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</row>
    <row r="6" spans="1:12" x14ac:dyDescent="0.3">
      <c r="A6" s="2" t="s">
        <v>129</v>
      </c>
      <c r="B6" s="8">
        <v>28</v>
      </c>
      <c r="C6" s="8">
        <v>68</v>
      </c>
      <c r="D6" s="6" t="s">
        <v>31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</row>
    <row r="7" spans="1:12" x14ac:dyDescent="0.3">
      <c r="A7" s="2" t="s">
        <v>129</v>
      </c>
      <c r="B7" s="8">
        <v>28</v>
      </c>
      <c r="C7" s="8">
        <v>68</v>
      </c>
      <c r="D7" s="6" t="s">
        <v>33</v>
      </c>
      <c r="E7" s="11">
        <v>3.5</v>
      </c>
      <c r="F7" s="11">
        <v>3.36</v>
      </c>
      <c r="G7" s="11">
        <v>0</v>
      </c>
      <c r="H7" s="11">
        <v>0</v>
      </c>
      <c r="I7" s="11">
        <v>0</v>
      </c>
      <c r="J7" s="11">
        <v>0</v>
      </c>
    </row>
    <row r="8" spans="1:12" x14ac:dyDescent="0.3">
      <c r="A8" s="7" t="s">
        <v>158</v>
      </c>
      <c r="D8" t="s">
        <v>30</v>
      </c>
      <c r="E8" s="11">
        <v>4.5</v>
      </c>
      <c r="F8" s="11">
        <v>5</v>
      </c>
      <c r="G8" s="11">
        <v>1.5</v>
      </c>
      <c r="H8" s="11">
        <v>5</v>
      </c>
      <c r="I8" s="11">
        <v>5</v>
      </c>
      <c r="J8" s="11">
        <v>10</v>
      </c>
    </row>
    <row r="9" spans="1:12" x14ac:dyDescent="0.3">
      <c r="A9" s="7" t="s">
        <v>158</v>
      </c>
      <c r="D9" t="s">
        <v>31</v>
      </c>
      <c r="E9" s="11">
        <v>0</v>
      </c>
      <c r="F9" s="11">
        <v>0</v>
      </c>
      <c r="G9" s="11">
        <v>5</v>
      </c>
      <c r="H9" s="11">
        <v>4</v>
      </c>
      <c r="I9" s="11">
        <v>5</v>
      </c>
      <c r="J9" s="11">
        <v>3.5</v>
      </c>
    </row>
    <row r="10" spans="1:12" x14ac:dyDescent="0.3">
      <c r="A10" s="7" t="s">
        <v>158</v>
      </c>
      <c r="D10" t="s">
        <v>33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</row>
    <row r="11" spans="1:12" x14ac:dyDescent="0.3">
      <c r="A11" s="7" t="s">
        <v>159</v>
      </c>
      <c r="D11" t="s">
        <v>30</v>
      </c>
      <c r="E11" s="11">
        <v>3.5</v>
      </c>
      <c r="F11" s="11">
        <v>3.5</v>
      </c>
      <c r="G11" s="11">
        <v>3</v>
      </c>
      <c r="H11" s="11">
        <v>0</v>
      </c>
      <c r="I11" s="11">
        <v>10</v>
      </c>
      <c r="J11" s="11">
        <v>4.76</v>
      </c>
    </row>
    <row r="12" spans="1:12" x14ac:dyDescent="0.3">
      <c r="A12" s="7" t="s">
        <v>159</v>
      </c>
      <c r="D12" t="s">
        <v>31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</row>
    <row r="13" spans="1:12" x14ac:dyDescent="0.3">
      <c r="A13" s="7" t="s">
        <v>159</v>
      </c>
      <c r="D13" t="s">
        <v>33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</row>
    <row r="14" spans="1:12" x14ac:dyDescent="0.3">
      <c r="A14" s="7" t="s">
        <v>160</v>
      </c>
      <c r="D14" t="s">
        <v>30</v>
      </c>
      <c r="E14" s="11">
        <v>5</v>
      </c>
      <c r="F14" s="11">
        <v>5</v>
      </c>
      <c r="G14" s="11">
        <v>0</v>
      </c>
      <c r="H14" s="11">
        <v>0</v>
      </c>
      <c r="I14" s="11">
        <v>0</v>
      </c>
      <c r="J14" s="11">
        <v>0</v>
      </c>
    </row>
    <row r="15" spans="1:12" x14ac:dyDescent="0.3">
      <c r="A15" s="7" t="s">
        <v>160</v>
      </c>
      <c r="D15" t="s">
        <v>31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</row>
    <row r="16" spans="1:12" x14ac:dyDescent="0.3">
      <c r="A16" s="7" t="s">
        <v>160</v>
      </c>
      <c r="D16" t="s">
        <v>33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</row>
    <row r="17" spans="1:10" x14ac:dyDescent="0.3">
      <c r="A17" s="7" t="s">
        <v>174</v>
      </c>
      <c r="D17" t="s">
        <v>30</v>
      </c>
      <c r="E17">
        <v>1.5</v>
      </c>
      <c r="F17">
        <v>3.5</v>
      </c>
      <c r="G17">
        <v>4.66</v>
      </c>
      <c r="H17">
        <v>0</v>
      </c>
      <c r="I17">
        <v>0</v>
      </c>
      <c r="J17">
        <v>0</v>
      </c>
    </row>
    <row r="18" spans="1:10" x14ac:dyDescent="0.3">
      <c r="A18" s="7" t="s">
        <v>174</v>
      </c>
      <c r="D18" t="s">
        <v>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7" t="s">
        <v>174</v>
      </c>
      <c r="D19" t="s">
        <v>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F16:J16 K2 C16:E22 C23:D23 C2:J15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workbookViewId="0">
      <selection activeCell="O1" sqref="O1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12" customWidth="1"/>
    <col min="4" max="15" width="14" customWidth="1"/>
    <col min="16" max="16" width="29.5546875" bestFit="1" customWidth="1"/>
  </cols>
  <sheetData>
    <row r="1" spans="1:16" x14ac:dyDescent="0.3">
      <c r="A1" s="5" t="s">
        <v>130</v>
      </c>
      <c r="B1" s="5" t="s">
        <v>131</v>
      </c>
      <c r="C1" s="5" t="s">
        <v>132</v>
      </c>
      <c r="D1" s="5" t="s">
        <v>133</v>
      </c>
      <c r="E1" s="5" t="s">
        <v>134</v>
      </c>
      <c r="F1" s="5" t="s">
        <v>135</v>
      </c>
      <c r="G1" s="5" t="s">
        <v>169</v>
      </c>
      <c r="H1" s="5" t="s">
        <v>167</v>
      </c>
      <c r="I1" s="5" t="s">
        <v>168</v>
      </c>
      <c r="J1" s="5" t="s">
        <v>136</v>
      </c>
      <c r="K1" s="5" t="s">
        <v>137</v>
      </c>
      <c r="L1" s="5" t="s">
        <v>138</v>
      </c>
      <c r="M1" s="5" t="s">
        <v>165</v>
      </c>
      <c r="N1" s="5" t="s">
        <v>166</v>
      </c>
      <c r="O1" s="5" t="s">
        <v>170</v>
      </c>
      <c r="P1" s="5" t="s">
        <v>87</v>
      </c>
    </row>
    <row r="2" spans="1:16" x14ac:dyDescent="0.3">
      <c r="A2" s="2" t="s">
        <v>139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140</v>
      </c>
    </row>
    <row r="3" spans="1:16" x14ac:dyDescent="0.3">
      <c r="A3" s="2" t="s">
        <v>141</v>
      </c>
      <c r="B3" s="2" t="s">
        <v>72</v>
      </c>
      <c r="C3" s="8">
        <v>10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  <c r="P3" s="6" t="s">
        <v>140</v>
      </c>
    </row>
    <row r="4" spans="1:16" x14ac:dyDescent="0.3">
      <c r="A4" s="2" t="s">
        <v>161</v>
      </c>
      <c r="B4" s="2" t="s">
        <v>72</v>
      </c>
      <c r="C4">
        <v>5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8">
        <v>6</v>
      </c>
      <c r="K4" s="8">
        <v>2</v>
      </c>
      <c r="L4" s="8">
        <v>1</v>
      </c>
      <c r="M4" s="8">
        <v>6</v>
      </c>
      <c r="N4" s="8">
        <v>2</v>
      </c>
      <c r="O4" s="8">
        <v>1</v>
      </c>
    </row>
    <row r="5" spans="1:16" x14ac:dyDescent="0.3">
      <c r="A5" s="2" t="s">
        <v>161</v>
      </c>
      <c r="B5" s="2" t="s">
        <v>76</v>
      </c>
      <c r="C5">
        <v>5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8">
        <v>6</v>
      </c>
      <c r="K5" s="8">
        <v>2</v>
      </c>
      <c r="L5" s="8">
        <v>1</v>
      </c>
      <c r="M5" s="8">
        <v>6</v>
      </c>
      <c r="N5" s="8">
        <v>2</v>
      </c>
      <c r="O5" s="8">
        <v>1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selection activeCell="G10" sqref="G10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x14ac:dyDescent="0.3">
      <c r="A1" s="5" t="s">
        <v>130</v>
      </c>
      <c r="B1" s="5" t="s">
        <v>131</v>
      </c>
      <c r="C1" s="5" t="s">
        <v>142</v>
      </c>
      <c r="D1" s="5" t="s">
        <v>143</v>
      </c>
      <c r="E1" s="5" t="s">
        <v>144</v>
      </c>
      <c r="F1" s="5" t="s">
        <v>171</v>
      </c>
      <c r="G1" s="5" t="s">
        <v>172</v>
      </c>
      <c r="H1" s="5" t="s">
        <v>173</v>
      </c>
      <c r="I1" s="5" t="s">
        <v>145</v>
      </c>
    </row>
    <row r="2" spans="1:9" ht="28.8" x14ac:dyDescent="0.3">
      <c r="A2" s="2" t="s">
        <v>139</v>
      </c>
      <c r="B2" s="2" t="s">
        <v>72</v>
      </c>
      <c r="C2" s="6" t="s">
        <v>157</v>
      </c>
      <c r="D2" s="6"/>
      <c r="E2" s="6"/>
      <c r="F2" s="6"/>
      <c r="G2" s="6"/>
      <c r="H2" s="6"/>
      <c r="I2" s="2" t="s">
        <v>146</v>
      </c>
    </row>
    <row r="3" spans="1:9" ht="28.8" x14ac:dyDescent="0.3">
      <c r="A3" s="2" t="s">
        <v>141</v>
      </c>
      <c r="B3" s="2" t="s">
        <v>72</v>
      </c>
      <c r="C3" s="6" t="s">
        <v>157</v>
      </c>
      <c r="D3" s="6"/>
      <c r="E3" s="6"/>
      <c r="F3" s="6"/>
      <c r="G3" s="6"/>
      <c r="H3" s="6"/>
      <c r="I3" s="2" t="s">
        <v>146</v>
      </c>
    </row>
    <row r="4" spans="1:9" x14ac:dyDescent="0.3">
      <c r="A4" s="2" t="s">
        <v>161</v>
      </c>
      <c r="B4" s="2" t="s">
        <v>72</v>
      </c>
      <c r="C4" s="6" t="s">
        <v>157</v>
      </c>
      <c r="D4" s="6"/>
      <c r="E4" s="6"/>
      <c r="F4" s="6"/>
      <c r="G4" s="6"/>
      <c r="H4" s="6"/>
      <c r="I4" s="2" t="s">
        <v>147</v>
      </c>
    </row>
    <row r="5" spans="1:9" x14ac:dyDescent="0.3">
      <c r="A5" s="2" t="s">
        <v>161</v>
      </c>
      <c r="B5" s="2" t="s">
        <v>76</v>
      </c>
      <c r="C5" s="6" t="s">
        <v>157</v>
      </c>
      <c r="D5" s="6"/>
      <c r="E5" s="6"/>
      <c r="F5" s="6"/>
      <c r="G5" s="6"/>
      <c r="H5" s="6"/>
      <c r="I5" s="2" t="s">
        <v>147</v>
      </c>
    </row>
    <row r="6" spans="1:9" x14ac:dyDescent="0.3">
      <c r="A6" s="2"/>
    </row>
  </sheetData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selection activeCell="D12" sqref="D12"/>
    </sheetView>
  </sheetViews>
  <sheetFormatPr baseColWidth="10" defaultColWidth="9.109375" defaultRowHeight="14.4" x14ac:dyDescent="0.3"/>
  <cols>
    <col min="1" max="2" width="23" customWidth="1"/>
    <col min="3" max="3" width="30" customWidth="1"/>
    <col min="4" max="5" width="10" customWidth="1"/>
  </cols>
  <sheetData>
    <row r="1" spans="1:5" x14ac:dyDescent="0.3">
      <c r="A1" s="5" t="s">
        <v>148</v>
      </c>
      <c r="B1" s="5" t="s">
        <v>157</v>
      </c>
      <c r="C1" s="5" t="s">
        <v>30</v>
      </c>
      <c r="D1" s="5" t="s">
        <v>31</v>
      </c>
      <c r="E1" s="5" t="s">
        <v>33</v>
      </c>
    </row>
    <row r="2" spans="1:5" x14ac:dyDescent="0.3">
      <c r="A2" s="3" t="s">
        <v>157</v>
      </c>
      <c r="B2" s="3">
        <v>1</v>
      </c>
      <c r="C2" s="6">
        <v>1</v>
      </c>
      <c r="D2" s="6">
        <v>1</v>
      </c>
      <c r="E2" s="6">
        <v>1</v>
      </c>
    </row>
    <row r="3" spans="1:5" x14ac:dyDescent="0.3">
      <c r="A3" s="3" t="s">
        <v>30</v>
      </c>
      <c r="B3" s="3">
        <v>0</v>
      </c>
      <c r="C3" s="6">
        <v>1</v>
      </c>
      <c r="D3" s="6">
        <v>1</v>
      </c>
      <c r="E3" s="6">
        <v>1</v>
      </c>
    </row>
    <row r="4" spans="1:5" x14ac:dyDescent="0.3">
      <c r="A4" s="3" t="s">
        <v>31</v>
      </c>
      <c r="B4" s="3">
        <v>0</v>
      </c>
      <c r="C4" s="6">
        <v>1</v>
      </c>
      <c r="D4" s="6">
        <v>1</v>
      </c>
      <c r="E4" s="6">
        <v>1</v>
      </c>
    </row>
    <row r="5" spans="1:5" x14ac:dyDescent="0.3">
      <c r="A5" s="3" t="s">
        <v>33</v>
      </c>
      <c r="B5" s="3">
        <v>0</v>
      </c>
      <c r="C5" s="6">
        <v>0</v>
      </c>
      <c r="D5" s="6">
        <v>0</v>
      </c>
      <c r="E5" s="6">
        <v>1</v>
      </c>
    </row>
    <row r="6" spans="1:5" x14ac:dyDescent="0.3">
      <c r="A6" s="2"/>
      <c r="B6" s="2"/>
      <c r="C6" s="2"/>
      <c r="D6" s="2"/>
      <c r="E6" s="2"/>
    </row>
    <row r="7" spans="1:5" ht="28.8" x14ac:dyDescent="0.3">
      <c r="A7" s="3" t="s">
        <v>149</v>
      </c>
      <c r="B7" s="3"/>
      <c r="C7" s="2" t="s">
        <v>150</v>
      </c>
      <c r="D7" s="2"/>
      <c r="E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workbookViewId="0">
      <selection activeCell="A5" sqref="A5:XFD5"/>
    </sheetView>
  </sheetViews>
  <sheetFormatPr baseColWidth="10" defaultColWidth="9.109375" defaultRowHeight="14.4" x14ac:dyDescent="0.3"/>
  <cols>
    <col min="1" max="3" width="16" customWidth="1"/>
    <col min="4" max="4" width="11" customWidth="1"/>
    <col min="5" max="5" width="16" customWidth="1"/>
  </cols>
  <sheetData>
    <row r="1" spans="1:5" x14ac:dyDescent="0.3">
      <c r="A1" s="5" t="s">
        <v>151</v>
      </c>
      <c r="B1" s="5" t="s">
        <v>121</v>
      </c>
      <c r="C1" s="5" t="s">
        <v>122</v>
      </c>
      <c r="D1" s="5" t="s">
        <v>152</v>
      </c>
      <c r="E1" s="5" t="s">
        <v>123</v>
      </c>
    </row>
    <row r="2" spans="1:5" x14ac:dyDescent="0.3">
      <c r="A2" s="7" t="s">
        <v>153</v>
      </c>
      <c r="B2" s="7">
        <f>Params!B15</f>
        <v>50</v>
      </c>
      <c r="C2" s="7">
        <f>Params!B16</f>
        <v>50</v>
      </c>
      <c r="D2" s="9" t="s">
        <v>154</v>
      </c>
      <c r="E2" s="7" t="s">
        <v>1</v>
      </c>
    </row>
    <row r="3" spans="1:5" x14ac:dyDescent="0.3">
      <c r="A3" s="7" t="str">
        <f>Suppliers!A2</f>
        <v>S01</v>
      </c>
      <c r="B3" s="7">
        <f>Suppliers!B2</f>
        <v>18</v>
      </c>
      <c r="C3" s="7">
        <f>Suppliers!C2</f>
        <v>82</v>
      </c>
      <c r="D3" s="9" t="s">
        <v>155</v>
      </c>
      <c r="E3" s="7" t="str">
        <f>Suppliers!D2</f>
        <v>EV</v>
      </c>
    </row>
    <row r="4" spans="1:5" x14ac:dyDescent="0.3">
      <c r="A4" s="7" t="str">
        <f>Suppliers!A3</f>
        <v>S01</v>
      </c>
      <c r="B4" s="7">
        <f>Suppliers!B3</f>
        <v>18</v>
      </c>
      <c r="C4" s="7">
        <f>Suppliers!C3</f>
        <v>82</v>
      </c>
      <c r="D4" s="9" t="s">
        <v>155</v>
      </c>
      <c r="E4" s="7" t="str">
        <f>Suppliers!D3</f>
        <v>V</v>
      </c>
    </row>
    <row r="5" spans="1:5" x14ac:dyDescent="0.3">
      <c r="A5" s="7" t="str">
        <f>Suppliers!A4</f>
        <v>S01</v>
      </c>
      <c r="B5" s="7">
        <f>Suppliers!B4</f>
        <v>18</v>
      </c>
      <c r="C5" s="7">
        <f>Suppliers!C4</f>
        <v>82</v>
      </c>
      <c r="D5" s="9" t="s">
        <v>155</v>
      </c>
      <c r="E5" s="7" t="str">
        <f>Suppliers!D4</f>
        <v>L</v>
      </c>
    </row>
    <row r="6" spans="1:5" x14ac:dyDescent="0.3">
      <c r="A6" s="7" t="str">
        <f>Suppliers!A5</f>
        <v>S02</v>
      </c>
      <c r="B6" s="7">
        <f>Suppliers!B5</f>
        <v>28</v>
      </c>
      <c r="C6" s="7">
        <f>Suppliers!C5</f>
        <v>68</v>
      </c>
      <c r="D6" s="9" t="s">
        <v>155</v>
      </c>
      <c r="E6" s="7" t="str">
        <f>Suppliers!D5</f>
        <v>EV</v>
      </c>
    </row>
    <row r="7" spans="1:5" x14ac:dyDescent="0.3">
      <c r="A7" s="7" t="str">
        <f>Suppliers!A6</f>
        <v>S02</v>
      </c>
      <c r="B7" s="7">
        <f>Suppliers!B6</f>
        <v>28</v>
      </c>
      <c r="C7" s="7">
        <f>Suppliers!C6</f>
        <v>68</v>
      </c>
      <c r="D7" s="9" t="s">
        <v>155</v>
      </c>
      <c r="E7" s="7" t="str">
        <f>Suppliers!D6</f>
        <v>V</v>
      </c>
    </row>
    <row r="8" spans="1:5" x14ac:dyDescent="0.3">
      <c r="A8" s="7" t="str">
        <f>Suppliers!A7</f>
        <v>S02</v>
      </c>
      <c r="B8" s="7">
        <f>Suppliers!B7</f>
        <v>28</v>
      </c>
      <c r="C8" s="7">
        <f>Suppliers!C7</f>
        <v>68</v>
      </c>
      <c r="D8" s="9" t="s">
        <v>155</v>
      </c>
      <c r="E8" s="7" t="str">
        <f>Suppliers!D7</f>
        <v>L</v>
      </c>
    </row>
    <row r="9" spans="1:5" x14ac:dyDescent="0.3">
      <c r="A9" s="7" t="s">
        <v>158</v>
      </c>
      <c r="E9" t="s">
        <v>30</v>
      </c>
    </row>
    <row r="10" spans="1:5" x14ac:dyDescent="0.3">
      <c r="A10" s="7" t="s">
        <v>158</v>
      </c>
      <c r="E10" t="s">
        <v>31</v>
      </c>
    </row>
    <row r="11" spans="1:5" x14ac:dyDescent="0.3">
      <c r="A11" s="7" t="s">
        <v>158</v>
      </c>
      <c r="E11" t="s">
        <v>33</v>
      </c>
    </row>
    <row r="12" spans="1:5" x14ac:dyDescent="0.3">
      <c r="A12" s="7" t="s">
        <v>159</v>
      </c>
      <c r="E12" t="s">
        <v>30</v>
      </c>
    </row>
    <row r="13" spans="1:5" x14ac:dyDescent="0.3">
      <c r="A13" s="7" t="s">
        <v>159</v>
      </c>
      <c r="E13" t="s">
        <v>31</v>
      </c>
    </row>
    <row r="14" spans="1:5" x14ac:dyDescent="0.3">
      <c r="A14" s="7" t="s">
        <v>159</v>
      </c>
      <c r="E14" t="s">
        <v>33</v>
      </c>
    </row>
    <row r="15" spans="1:5" x14ac:dyDescent="0.3">
      <c r="A15" s="7" t="s">
        <v>160</v>
      </c>
      <c r="E15" t="s">
        <v>30</v>
      </c>
    </row>
    <row r="16" spans="1:5" x14ac:dyDescent="0.3">
      <c r="A16" s="7" t="s">
        <v>160</v>
      </c>
      <c r="E16" t="s">
        <v>31</v>
      </c>
    </row>
    <row r="17" spans="1:5" x14ac:dyDescent="0.3">
      <c r="A17" s="7" t="s">
        <v>160</v>
      </c>
      <c r="E17" t="s">
        <v>33</v>
      </c>
    </row>
    <row r="18" spans="1:5" x14ac:dyDescent="0.3">
      <c r="A18" s="7" t="s">
        <v>174</v>
      </c>
      <c r="E18" t="s">
        <v>30</v>
      </c>
    </row>
    <row r="19" spans="1:5" x14ac:dyDescent="0.3">
      <c r="A19" s="7" t="s">
        <v>174</v>
      </c>
      <c r="E19" t="s">
        <v>31</v>
      </c>
    </row>
    <row r="20" spans="1:5" x14ac:dyDescent="0.3">
      <c r="A20" s="7" t="s">
        <v>174</v>
      </c>
      <c r="E20" t="s">
        <v>33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selection activeCell="B12" sqref="B12"/>
    </sheetView>
  </sheetViews>
  <sheetFormatPr baseColWidth="10" defaultColWidth="9.109375" defaultRowHeight="14.4" x14ac:dyDescent="0.3"/>
  <cols>
    <col min="1" max="1" width="12" customWidth="1"/>
    <col min="2" max="4" width="30" customWidth="1"/>
  </cols>
  <sheetData>
    <row r="1" spans="1:8" x14ac:dyDescent="0.3">
      <c r="A1" s="5" t="s">
        <v>156</v>
      </c>
      <c r="B1" s="5" t="str">
        <f>Nodes!A2</f>
        <v>D0</v>
      </c>
      <c r="C1" s="5" t="str">
        <f>Nodes!A3</f>
        <v>S01</v>
      </c>
      <c r="D1" s="5" t="str">
        <f>Nodes!A6</f>
        <v>S02</v>
      </c>
      <c r="E1" t="s">
        <v>158</v>
      </c>
      <c r="F1" t="s">
        <v>159</v>
      </c>
      <c r="G1" t="s">
        <v>160</v>
      </c>
      <c r="H1" t="s">
        <v>174</v>
      </c>
    </row>
    <row r="2" spans="1:8" x14ac:dyDescent="0.3">
      <c r="A2" s="3" t="str">
        <f>Nodes!A2</f>
        <v>D0</v>
      </c>
      <c r="B2" s="10">
        <v>0</v>
      </c>
      <c r="C2" s="10">
        <v>35</v>
      </c>
      <c r="D2" s="10">
        <v>65</v>
      </c>
      <c r="E2">
        <v>69</v>
      </c>
      <c r="F2">
        <v>40</v>
      </c>
      <c r="G2">
        <v>21</v>
      </c>
      <c r="H2">
        <v>50</v>
      </c>
    </row>
    <row r="3" spans="1:8" x14ac:dyDescent="0.3">
      <c r="A3" s="3" t="str">
        <f>Nodes!A3</f>
        <v>S01</v>
      </c>
      <c r="B3" s="10">
        <v>35</v>
      </c>
      <c r="C3" s="10">
        <v>0</v>
      </c>
      <c r="D3" s="10">
        <v>35</v>
      </c>
      <c r="E3">
        <v>84</v>
      </c>
      <c r="F3">
        <v>60</v>
      </c>
      <c r="G3">
        <v>51</v>
      </c>
      <c r="H3">
        <v>57</v>
      </c>
    </row>
    <row r="4" spans="1:8" x14ac:dyDescent="0.3">
      <c r="A4" s="3" t="str">
        <f>Nodes!A6</f>
        <v>S02</v>
      </c>
      <c r="B4" s="10">
        <v>65</v>
      </c>
      <c r="C4" s="10">
        <v>35</v>
      </c>
      <c r="D4" s="10">
        <v>0</v>
      </c>
      <c r="E4">
        <v>116</v>
      </c>
      <c r="F4">
        <v>90</v>
      </c>
      <c r="G4">
        <v>85</v>
      </c>
      <c r="H4">
        <v>71</v>
      </c>
    </row>
    <row r="5" spans="1:8" x14ac:dyDescent="0.3">
      <c r="A5" s="3" t="s">
        <v>158</v>
      </c>
      <c r="B5">
        <v>69</v>
      </c>
      <c r="C5">
        <v>84</v>
      </c>
      <c r="D5">
        <v>116</v>
      </c>
      <c r="E5">
        <v>0</v>
      </c>
      <c r="F5">
        <v>50</v>
      </c>
      <c r="G5">
        <v>80</v>
      </c>
      <c r="H5">
        <v>46</v>
      </c>
    </row>
    <row r="6" spans="1:8" x14ac:dyDescent="0.3">
      <c r="A6" s="3" t="s">
        <v>159</v>
      </c>
      <c r="B6">
        <v>40</v>
      </c>
      <c r="C6">
        <v>60</v>
      </c>
      <c r="D6">
        <v>90</v>
      </c>
      <c r="E6">
        <v>50</v>
      </c>
      <c r="F6">
        <v>0</v>
      </c>
      <c r="G6">
        <v>55</v>
      </c>
      <c r="H6">
        <v>30</v>
      </c>
    </row>
    <row r="7" spans="1:8" x14ac:dyDescent="0.3">
      <c r="A7" t="s">
        <v>160</v>
      </c>
      <c r="B7">
        <v>21</v>
      </c>
      <c r="C7">
        <v>51</v>
      </c>
      <c r="D7">
        <v>85</v>
      </c>
      <c r="E7">
        <v>80</v>
      </c>
      <c r="F7">
        <v>55</v>
      </c>
      <c r="G7">
        <v>0</v>
      </c>
      <c r="H7">
        <v>55</v>
      </c>
    </row>
    <row r="8" spans="1:8" x14ac:dyDescent="0.3">
      <c r="A8" s="3" t="s">
        <v>174</v>
      </c>
      <c r="B8">
        <v>50</v>
      </c>
      <c r="C8">
        <v>57</v>
      </c>
      <c r="D8">
        <v>71</v>
      </c>
      <c r="E8">
        <v>46</v>
      </c>
      <c r="F8">
        <v>30</v>
      </c>
      <c r="G8">
        <v>55</v>
      </c>
      <c r="H8"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Ghodhbeni</cp:lastModifiedBy>
  <dcterms:created xsi:type="dcterms:W3CDTF">2026-04-18T16:24:21Z</dcterms:created>
  <dcterms:modified xsi:type="dcterms:W3CDTF">2026-07-19T10:21:02Z</dcterms:modified>
</cp:coreProperties>
</file>