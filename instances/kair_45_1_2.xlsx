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25" documentId="13_ncr:1_{7DD74B28-6AA0-464A-9496-98ECF1538094}" xr6:coauthVersionLast="47" xr6:coauthVersionMax="47" xr10:uidLastSave="{90DC3E93-0A7D-4255-9F9F-6E57CA1C6584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7" i="5" l="1"/>
  <c r="E7" i="9"/>
  <c r="E6" i="9"/>
  <c r="A2" i="10"/>
  <c r="B1" i="10"/>
  <c r="A7" i="9"/>
  <c r="A6" i="9"/>
  <c r="D1" i="10" s="1"/>
  <c r="E4" i="9"/>
  <c r="A4" i="9"/>
  <c r="E3" i="9"/>
  <c r="A3" i="9"/>
  <c r="C1" i="10" s="1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<sst xmlns="http://schemas.openxmlformats.org/spreadsheetml/2006/main" count="411" uniqueCount="183">
  <si>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</si>
  <si>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</si>
  <si>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</si>
  <si>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</si>
  <si>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</si>
  <si>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</si>
  <si>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</si>
  <si>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</si>
  <si>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</si>
  <si>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</si>
  <si>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</si>
  <si>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</si>
  <si>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</si>
  <si>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</si>
  <si>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</si>
  <si>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</si>
  <si>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</si>
  <si>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</si>
  <si>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</si>
  <si>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</si>
  <si>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</si>
  <si>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</si>
  <si>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</si>
  <si>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</si>
  <si>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</si>
  <si>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</si>
  <si>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</si>
  <si>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</si>
  <si>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</si>
  <si>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</si>
  <si>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</si>
  <si>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</si>
  <si>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</si>
  <si>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</si>
  <si>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</si>
  <si>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</si>
  <si>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</si>
  <si>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</si>
  <si>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</si>
  <si>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</si>
  <si>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</si>
  <si>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</si>
  <si>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</si>
  <si>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</si>
  <si>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</si>
  <si>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</si>
  <si>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</si>
  <si>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</si>
  <si>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</si>
  <si>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</si>
  <si>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</si>
  <si>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</si>
  <si>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</si>
  <si>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</si>
  <si>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</si>
  <si>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</si>
  <si>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</si>
  <si>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</si>
  <si>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</si>
  <si>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</si>
  <si>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</si>
  <si>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</si>
  <si>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</si>
  <si>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</si>
  <si>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</si>
  <si>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</si>
  <si>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</si>
  <si>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</si>
  <si>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</si>
  <si>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</si>
  <si>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</si>
  <si>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</si>
  <si>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</si>
  <si>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</si>
  <si>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</si>
  <si>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</si>
  <si>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</si>
  <si>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</si>
  <si>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</si>
  <si>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</si>
  <si>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</si>
  <si>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</si>
  <si>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</si>
  <si>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</si>
  <si>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</si>
  <si>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</si>
  <si>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</si>
  <si>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</si>
  <si>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</si>
  <si>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</si>
  <si>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</si>
  <si>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</si>
  <si>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</si>
  <si>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</si>
  <si>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</si>
  <si>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</si>
  <si>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</si>
  <si>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</si>
  <si>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</si>
  <si>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</si>
  <si>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</si>
  <si>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</si>
  <si>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</si>
  <si>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</si>
  <si>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</si>
  <si>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</si>
  <si>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</si>
  <si>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</si>
  <si>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</si>
  <si>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</si>
  <si>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</si>
  <si>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</si>
  <si>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</si>
  <si>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</si>
  <si>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</si>
  <si>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</si>
  <si>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</si>
  <si>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</si>
  <si>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</si>
  <si>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</si>
  <si>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</si>
  <si>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</si>
  <si>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</si>
  <si>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</si>
  <si>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</si>
  <si>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</si>
  <si>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</si>
  <si>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</si>
  <si>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</si>
  <si>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S02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</si>
  <si>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</si>
  <si>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</si>
  <si>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</si>
  <si>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</si>
  <si>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</si>
  <si>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</si>
  <si>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</si>
  <si>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</si>
  <si>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</si>
  <si>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</si>
  <si>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</si>
  <si>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</si>
  <si>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</si>
  <si>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</si>
  <si>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</si>
  <si>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</si>
  <si>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</si>
  <si>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</si>
  <si>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</si>
  <si>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</si>
  <si>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</si>
  <si>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</si>
  <si>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</si>
  <si>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</si>
  <si>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</si>
  <si>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</si>
  <si>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</si>
  <si>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</si>
  <si>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</si>
  <si>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</si>
  <si>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</si>
  <si>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</si>
  <si>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</si>
  <si>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</si>
  <si>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</si>
  <si>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</si>
  <si>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</si>
  <si>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</si>
  <si>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</si>
  <si>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</si>
  <si>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</si>
  <si>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</si>
  <si>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</si>
  <si>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</si>
  <si>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S06</t>
  </si>
  <si>
    <t>S07</t>
  </si>
  <si>
    <t>LoadingTimePerTon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</si>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</sst>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2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22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27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27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27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27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73B1ABFD-70E1-CED7-7426-E76FE9A5C1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45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45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9A2F2B57-BF64-25B1-0EB2-BF653A43C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E025E5E-7EFA-4ACB-3CF2-74B471B328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19" workbookViewId="0">
      <selection activeCell="A32" sqref="A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v>7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4" t="s">
        <v>176</v>
      </c>
      <c r="B6" s="15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SUM(Suppliers!E2:E5)</f>
        <v>0.5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SUM(Suppliers!F2:F5)</f>
        <v>6.5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SUM(Suppliers!G2:G5)</f>
        <v>6.08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COUNTIFS(Fleet!D2:D3,1)+COUNTIFS(Fleet!E2:E3,1)+COUNTIFS(Fleet!F2:F3,1)</f>
        <v>6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SUMPRODUCT(Fleet!$C$2:$C$3,Fleet!$D$2:$D$3)*$B$17</f>
        <v>45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SUMPRODUCT(Fleet!$C$2:$C$3,Fleet!$E$2:$E$3)*$B$17</f>
        <v>45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SUMPRODUCT(Fleet!$C$2:$C$3,Fleet!$F$2:$F$3)*$B$17</f>
        <v>45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1.1111111111111112E-2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0.14444444444444443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0.13511111111111113</v>
      </c>
      <c r="C31" s="2" t="s">
        <v>91</v>
      </c>
      <c r="D31" s="2" t="s">
        <v>117</v>
      </c>
    </row>
    <row r="32" spans="1:4" x14ac:dyDescent="0.3">
      <c r="A32" t="s">
        <v>177</v>
      </c>
      <c r="B32">
        <v>5400</v>
      </c>
    </row>
    <row r="33" spans="1:2" x14ac:dyDescent="0.3">
      <c r="A33" t="s">
        <v>178</v>
      </c>
      <c r="B33">
        <v>5400</v>
      </c>
    </row>
    <row r="34" spans="1:2" x14ac:dyDescent="0.3">
      <c r="A34" t="s">
        <v>179</v>
      </c>
      <c r="B34">
        <v>5400</v>
      </c>
    </row>
    <row r="35" spans="1:2" x14ac:dyDescent="0.3">
      <c r="A35" t="s">
        <v>180</v>
      </c>
      <c r="B35">
        <v>5400</v>
      </c>
    </row>
    <row r="36" spans="1:2" x14ac:dyDescent="0.3">
      <c r="A36" t="s">
        <v>181</v>
      </c>
      <c r="B36">
        <v>5400</v>
      </c>
    </row>
    <row r="37" spans="1:2" x14ac:dyDescent="0.3">
      <c r="A37" t="s">
        <v>182</v>
      </c>
      <c r="B37">
        <v>5400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7"/>
  <sheetViews>
    <sheetView topLeftCell="E1" workbookViewId="0">
      <selection activeCell="E47" sqref="E47:R85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5" width="13" customWidth="1"/>
    <col min="6" max="10" width="12.5546875" bestFit="1" customWidth="1"/>
    <col min="11" max="11" width="13" customWidth="1"/>
    <col min="12" max="12" width="30" customWidth="1"/>
  </cols>
  <sheetData>
    <row r="1" spans="1:19" ht="28.8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162</v>
      </c>
      <c r="I1" s="5" t="s">
        <v>163</v>
      </c>
      <c r="J1" s="5" t="s">
        <v>164</v>
      </c>
      <c r="K1" s="5" t="s">
        <v>127</v>
      </c>
      <c r="L1" s="5" t="s">
        <v>87</v>
      </c>
    </row>
    <row r="2" spans="1:19" x14ac:dyDescent="0.3">
      <c r="A2" s="2" t="s">
        <v>128</v>
      </c>
      <c r="B2" s="8">
        <v>18</v>
      </c>
      <c r="C2" s="8">
        <v>82</v>
      </c>
      <c r="D2" s="6" t="s">
        <v>30</v>
      </c>
      <c r="E2">
        <v>0.5</v>
      </c>
      <c r="F2">
        <v>6.5</v>
      </c>
      <c r="G2">
        <v>4.58</v>
      </c>
      <c r="H2">
        <v>5</v>
      </c>
      <c r="I2">
        <v>3.5</v>
      </c>
      <c r="J2">
        <v>3</v>
      </c>
      <c r="K2" s="17"/>
      <c r="L2" s="17"/>
      <c r="M2" s="17"/>
      <c r="N2" s="17"/>
      <c r="O2" s="17"/>
      <c r="P2" s="17"/>
    </row>
    <row r="3" spans="1:19" x14ac:dyDescent="0.3">
      <c r="A3" s="2" t="s">
        <v>128</v>
      </c>
      <c r="B3" s="8">
        <v>18</v>
      </c>
      <c r="C3" s="8">
        <v>82</v>
      </c>
      <c r="D3" s="6" t="s">
        <v>31</v>
      </c>
      <c r="E3">
        <v>0</v>
      </c>
      <c r="F3">
        <v>0</v>
      </c>
      <c r="G3">
        <v>0</v>
      </c>
      <c r="H3">
        <v>3</v>
      </c>
      <c r="I3">
        <v>1.5</v>
      </c>
      <c r="J3">
        <v>0</v>
      </c>
      <c r="K3" s="17"/>
      <c r="L3" s="17"/>
      <c r="M3" s="17"/>
      <c r="N3" s="17"/>
      <c r="O3" s="17"/>
      <c r="P3" s="17"/>
    </row>
    <row r="4" spans="1:19" x14ac:dyDescent="0.3">
      <c r="A4" s="2" t="s">
        <v>128</v>
      </c>
      <c r="B4" s="8"/>
      <c r="C4" s="8"/>
      <c r="D4" s="6" t="s">
        <v>33</v>
      </c>
      <c r="E4">
        <v>0</v>
      </c>
      <c r="F4">
        <v>0</v>
      </c>
      <c r="G4">
        <v>1.5</v>
      </c>
      <c r="H4">
        <v>0</v>
      </c>
      <c r="I4">
        <v>0</v>
      </c>
      <c r="J4">
        <v>3.5500000000000003</v>
      </c>
      <c r="K4" s="17"/>
      <c r="L4" s="17"/>
      <c r="M4" s="17"/>
      <c r="N4" s="17"/>
      <c r="O4" s="17"/>
      <c r="P4" s="17"/>
    </row>
    <row r="5" spans="1:19" x14ac:dyDescent="0.3">
      <c r="A5" s="2" t="s">
        <v>129</v>
      </c>
      <c r="B5" s="8">
        <v>28</v>
      </c>
      <c r="C5" s="8">
        <v>68</v>
      </c>
      <c r="D5" s="6" t="s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17"/>
      <c r="L5" s="17"/>
      <c r="M5" s="17"/>
      <c r="N5" s="17"/>
      <c r="O5" s="17"/>
      <c r="P5" s="17"/>
      <c r="Q5" s="11"/>
      <c r="R5" s="11"/>
      <c r="S5" s="11"/>
    </row>
    <row r="6" spans="1:19" x14ac:dyDescent="0.3">
      <c r="A6" s="2" t="s">
        <v>129</v>
      </c>
      <c r="B6" s="8">
        <v>28</v>
      </c>
      <c r="C6" s="8">
        <v>68</v>
      </c>
      <c r="D6" s="6" t="s">
        <v>31</v>
      </c>
      <c r="E6">
        <v>3.5</v>
      </c>
      <c r="F6">
        <v>3.5</v>
      </c>
      <c r="G6">
        <v>3.22</v>
      </c>
      <c r="H6">
        <v>0</v>
      </c>
      <c r="I6">
        <v>0</v>
      </c>
      <c r="J6">
        <v>0</v>
      </c>
      <c r="K6" s="17"/>
      <c r="L6" s="17"/>
      <c r="M6" s="17"/>
      <c r="N6" s="17"/>
      <c r="O6" s="17"/>
      <c r="P6" s="17"/>
      <c r="Q6" s="11"/>
      <c r="R6" s="11"/>
      <c r="S6" s="11"/>
    </row>
    <row r="7" spans="1:19" x14ac:dyDescent="0.3">
      <c r="A7" s="2" t="s">
        <v>129</v>
      </c>
      <c r="B7" s="8"/>
      <c r="C7" s="8"/>
      <c r="D7" s="6" t="s">
        <v>33</v>
      </c>
      <c r="E7">
        <v>3.5</v>
      </c>
      <c r="F7">
        <v>2</v>
      </c>
      <c r="G7">
        <v>3.5</v>
      </c>
      <c r="H7">
        <v>0</v>
      </c>
      <c r="I7">
        <v>0</v>
      </c>
      <c r="J7">
        <v>0</v>
      </c>
      <c r="K7" s="17"/>
      <c r="L7" s="17"/>
      <c r="M7" s="17"/>
      <c r="N7" s="17"/>
      <c r="O7" s="17"/>
      <c r="P7" s="17"/>
      <c r="Q7" s="11"/>
      <c r="R7" s="11"/>
      <c r="S7" s="11"/>
    </row>
    <row r="8" spans="1:19" x14ac:dyDescent="0.3">
      <c r="A8" s="7" t="s">
        <v>158</v>
      </c>
      <c r="D8" t="s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17"/>
      <c r="L8" s="17"/>
      <c r="M8" s="17"/>
      <c r="N8" s="17"/>
      <c r="O8" s="17"/>
      <c r="P8" s="17"/>
      <c r="Q8" s="11"/>
      <c r="R8" s="11"/>
      <c r="S8" s="11"/>
    </row>
    <row r="9" spans="1:19" x14ac:dyDescent="0.3">
      <c r="A9" s="7" t="s">
        <v>158</v>
      </c>
      <c r="D9" t="s">
        <v>31</v>
      </c>
      <c r="E9">
        <v>1.5</v>
      </c>
      <c r="F9">
        <v>1.5</v>
      </c>
      <c r="G9">
        <v>3.62</v>
      </c>
      <c r="H9">
        <v>3.5</v>
      </c>
      <c r="I9">
        <v>0</v>
      </c>
      <c r="J9">
        <v>0</v>
      </c>
      <c r="K9" s="17"/>
      <c r="L9" s="17"/>
      <c r="M9" s="17"/>
      <c r="N9" s="17"/>
      <c r="O9" s="17"/>
      <c r="P9" s="17"/>
      <c r="Q9" s="11"/>
      <c r="R9" s="11"/>
      <c r="S9" s="11"/>
    </row>
    <row r="10" spans="1:19" x14ac:dyDescent="0.3">
      <c r="A10" s="7" t="s">
        <v>158</v>
      </c>
      <c r="D10" s="6" t="s">
        <v>33</v>
      </c>
      <c r="E10">
        <v>1.5</v>
      </c>
      <c r="F10">
        <v>3.7</v>
      </c>
      <c r="G10">
        <v>0</v>
      </c>
      <c r="H10">
        <v>3.35</v>
      </c>
      <c r="I10">
        <v>0</v>
      </c>
      <c r="J10">
        <v>0</v>
      </c>
      <c r="K10" s="17"/>
      <c r="L10" s="17"/>
      <c r="M10" s="17"/>
      <c r="N10" s="17"/>
      <c r="O10" s="17"/>
      <c r="P10" s="17"/>
      <c r="Q10" s="11"/>
      <c r="R10" s="11"/>
      <c r="S10" s="11"/>
    </row>
    <row r="11" spans="1:19" x14ac:dyDescent="0.3">
      <c r="A11" s="7" t="s">
        <v>159</v>
      </c>
      <c r="D11" t="s">
        <v>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17"/>
      <c r="L11" s="17"/>
      <c r="M11" s="17"/>
      <c r="N11" s="17"/>
      <c r="O11" s="17"/>
      <c r="P11" s="17"/>
      <c r="Q11" s="11"/>
      <c r="R11" s="11"/>
      <c r="S11" s="11"/>
    </row>
    <row r="12" spans="1:19" x14ac:dyDescent="0.3">
      <c r="A12" s="7" t="s">
        <v>159</v>
      </c>
      <c r="D12" t="s">
        <v>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17"/>
      <c r="L12" s="17"/>
      <c r="M12" s="17"/>
      <c r="N12" s="17"/>
      <c r="O12" s="17"/>
      <c r="P12" s="17"/>
      <c r="Q12" s="11"/>
      <c r="R12" s="11"/>
      <c r="S12" s="11"/>
    </row>
    <row r="13" spans="1:19" x14ac:dyDescent="0.3">
      <c r="A13" s="7" t="s">
        <v>159</v>
      </c>
      <c r="D13" t="s">
        <v>33</v>
      </c>
      <c r="E13">
        <v>5</v>
      </c>
      <c r="F13">
        <v>0</v>
      </c>
      <c r="G13">
        <v>1.5</v>
      </c>
      <c r="H13">
        <v>3.68</v>
      </c>
      <c r="I13">
        <v>0</v>
      </c>
      <c r="J13">
        <v>0</v>
      </c>
      <c r="K13" s="17"/>
      <c r="L13" s="17"/>
      <c r="M13" s="17"/>
      <c r="N13" s="17"/>
      <c r="O13" s="17"/>
      <c r="P13" s="17"/>
      <c r="Q13" s="11"/>
      <c r="R13" s="11"/>
      <c r="S13" s="11"/>
    </row>
    <row r="14" spans="1:19" x14ac:dyDescent="0.3">
      <c r="A14" s="7" t="s">
        <v>160</v>
      </c>
      <c r="D14" t="s">
        <v>30</v>
      </c>
      <c r="E14">
        <v>1.5</v>
      </c>
      <c r="F14">
        <v>3.5</v>
      </c>
      <c r="G14">
        <v>2</v>
      </c>
      <c r="H14">
        <v>3.24</v>
      </c>
      <c r="I14">
        <v>0</v>
      </c>
      <c r="J14">
        <v>0</v>
      </c>
      <c r="K14" s="17"/>
      <c r="L14" s="17"/>
      <c r="M14" s="17"/>
      <c r="N14" s="17"/>
      <c r="O14" s="17"/>
      <c r="P14" s="17"/>
      <c r="Q14" s="11"/>
      <c r="R14" s="11"/>
      <c r="S14" s="11"/>
    </row>
    <row r="15" spans="1:19" x14ac:dyDescent="0.3">
      <c r="A15" s="7" t="s">
        <v>160</v>
      </c>
      <c r="D15" t="s">
        <v>31</v>
      </c>
      <c r="E15">
        <v>2.5</v>
      </c>
      <c r="F15">
        <v>3</v>
      </c>
      <c r="G15">
        <v>0</v>
      </c>
      <c r="H15">
        <v>0</v>
      </c>
      <c r="I15">
        <v>0</v>
      </c>
      <c r="J15">
        <v>0</v>
      </c>
      <c r="K15" s="17"/>
      <c r="L15" s="17"/>
      <c r="M15" s="17"/>
      <c r="N15" s="17"/>
      <c r="O15" s="17"/>
      <c r="P15" s="17"/>
      <c r="Q15" s="11"/>
      <c r="R15" s="11"/>
      <c r="S15" s="11"/>
    </row>
    <row r="16" spans="1:19" x14ac:dyDescent="0.3">
      <c r="A16" s="7" t="s">
        <v>160</v>
      </c>
      <c r="D16" t="s">
        <v>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17"/>
      <c r="L16" s="17"/>
      <c r="M16" s="17"/>
      <c r="N16" s="17"/>
      <c r="O16" s="17"/>
      <c r="P16" s="17"/>
      <c r="Q16" s="11"/>
      <c r="R16" s="11"/>
      <c r="S16" s="11"/>
    </row>
    <row r="17" spans="1:19" x14ac:dyDescent="0.3">
      <c r="A17" s="7" t="s">
        <v>174</v>
      </c>
      <c r="D17" t="s">
        <v>30</v>
      </c>
      <c r="E17">
        <v>4.1500000000000004</v>
      </c>
      <c r="F17">
        <v>0</v>
      </c>
      <c r="G17">
        <v>0</v>
      </c>
      <c r="H17">
        <v>0</v>
      </c>
      <c r="I17">
        <v>0</v>
      </c>
      <c r="J17">
        <v>0</v>
      </c>
      <c r="K17" s="17"/>
      <c r="L17" s="17"/>
      <c r="M17" s="17"/>
      <c r="N17" s="17"/>
      <c r="O17" s="17"/>
      <c r="P17" s="17"/>
      <c r="Q17" s="11"/>
      <c r="R17" s="11"/>
      <c r="S17" s="11"/>
    </row>
    <row r="18" spans="1:19" x14ac:dyDescent="0.3">
      <c r="A18" s="7" t="s">
        <v>174</v>
      </c>
      <c r="D18" t="s">
        <v>31</v>
      </c>
      <c r="E18">
        <v>2.5</v>
      </c>
      <c r="F18">
        <v>0</v>
      </c>
      <c r="G18">
        <v>3</v>
      </c>
      <c r="H18">
        <v>0.71</v>
      </c>
      <c r="I18">
        <v>3.5</v>
      </c>
      <c r="J18">
        <v>0</v>
      </c>
      <c r="K18" s="17"/>
      <c r="L18" s="17"/>
      <c r="M18" s="17"/>
      <c r="N18" s="17"/>
      <c r="O18" s="17"/>
      <c r="P18" s="17"/>
      <c r="Q18" s="11"/>
      <c r="R18" s="11"/>
      <c r="S18" s="11"/>
    </row>
    <row r="19" spans="1:19" x14ac:dyDescent="0.3">
      <c r="A19" s="7" t="s">
        <v>174</v>
      </c>
      <c r="D19" t="s">
        <v>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17"/>
      <c r="L19" s="17"/>
      <c r="M19" s="17"/>
      <c r="N19" s="17"/>
      <c r="O19" s="17"/>
      <c r="P19" s="17"/>
      <c r="Q19" s="11"/>
      <c r="R19" s="11"/>
      <c r="S19" s="11"/>
    </row>
    <row r="20" spans="1:19" x14ac:dyDescent="0.3">
      <c r="A20" s="7" t="s">
        <v>175</v>
      </c>
      <c r="D20" t="s">
        <v>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17"/>
      <c r="L20" s="17"/>
      <c r="M20" s="17"/>
      <c r="N20" s="17"/>
      <c r="O20" s="17"/>
      <c r="P20" s="17"/>
      <c r="Q20" s="11"/>
      <c r="R20" s="11"/>
      <c r="S20" s="11"/>
    </row>
    <row r="21" spans="1:19" x14ac:dyDescent="0.3">
      <c r="A21" s="7" t="s">
        <v>175</v>
      </c>
      <c r="D21" t="s">
        <v>31</v>
      </c>
      <c r="E21">
        <v>0</v>
      </c>
      <c r="F21">
        <v>2</v>
      </c>
      <c r="G21">
        <v>0</v>
      </c>
      <c r="H21">
        <v>2</v>
      </c>
      <c r="I21">
        <v>5</v>
      </c>
      <c r="J21">
        <v>0</v>
      </c>
      <c r="K21" s="17"/>
      <c r="L21" s="17"/>
      <c r="M21" s="17"/>
      <c r="N21" s="17"/>
      <c r="O21" s="17"/>
      <c r="P21" s="17"/>
      <c r="Q21" s="11"/>
      <c r="R21" s="11"/>
      <c r="S21" s="11"/>
    </row>
    <row r="22" spans="1:19" x14ac:dyDescent="0.3">
      <c r="A22" s="7" t="s">
        <v>175</v>
      </c>
      <c r="D22" t="s">
        <v>33</v>
      </c>
      <c r="E22">
        <v>0</v>
      </c>
      <c r="F22">
        <v>3</v>
      </c>
      <c r="G22">
        <v>3.5</v>
      </c>
      <c r="H22">
        <v>2.9</v>
      </c>
      <c r="I22">
        <v>9.6</v>
      </c>
      <c r="J22">
        <v>10</v>
      </c>
      <c r="K22" s="17"/>
      <c r="L22" s="17"/>
      <c r="M22" s="17"/>
      <c r="N22" s="17"/>
      <c r="O22" s="17"/>
      <c r="P22" s="17"/>
      <c r="Q22" s="11"/>
      <c r="R22" s="11"/>
      <c r="S22" s="11"/>
    </row>
    <row r="23" spans="1:19" x14ac:dyDescent="0.3">
      <c r="N23" s="11"/>
      <c r="O23" s="11"/>
      <c r="P23" s="11"/>
      <c r="Q23" s="11"/>
      <c r="R23" s="11"/>
      <c r="S23" s="11"/>
    </row>
    <row r="24" spans="1:19" x14ac:dyDescent="0.3">
      <c r="N24" s="11"/>
      <c r="O24" s="11"/>
      <c r="P24" s="11"/>
      <c r="Q24" s="11"/>
      <c r="R24" s="11"/>
      <c r="S24" s="11"/>
    </row>
    <row r="47" spans="3:3" x14ac:dyDescent="0.3">
      <c r="C47">
        <f>0.001</f>
        <v>1E-3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F2:J22 C2:D34 N5:S24 K2:K8 E2:E25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130</v>
      </c>
      <c r="B1" s="5" t="s">
        <v>131</v>
      </c>
      <c r="C1" s="5" t="s">
        <v>132</v>
      </c>
      <c r="D1" s="5" t="s">
        <v>133</v>
      </c>
      <c r="E1" s="5" t="s">
        <v>134</v>
      </c>
      <c r="F1" s="5" t="s">
        <v>135</v>
      </c>
      <c r="G1" s="5" t="s">
        <v>169</v>
      </c>
      <c r="H1" s="5" t="s">
        <v>167</v>
      </c>
      <c r="I1" s="5" t="s">
        <v>168</v>
      </c>
      <c r="J1" s="5" t="s">
        <v>136</v>
      </c>
      <c r="K1" s="5" t="s">
        <v>137</v>
      </c>
      <c r="L1" s="5" t="s">
        <v>138</v>
      </c>
      <c r="M1" s="5" t="s">
        <v>165</v>
      </c>
      <c r="N1" s="5" t="s">
        <v>166</v>
      </c>
      <c r="O1" s="5" t="s">
        <v>170</v>
      </c>
      <c r="P1" s="5" t="s">
        <v>87</v>
      </c>
    </row>
    <row r="2" spans="1:16" x14ac:dyDescent="0.3">
      <c r="A2" s="2" t="s">
        <v>161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140</v>
      </c>
    </row>
    <row r="3" spans="1:16" x14ac:dyDescent="0.3">
      <c r="A3" s="2" t="s">
        <v>141</v>
      </c>
      <c r="B3" s="2" t="s">
        <v>72</v>
      </c>
      <c r="C3" s="8">
        <v>5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  <c r="P3" s="6" t="s">
        <v>140</v>
      </c>
    </row>
    <row r="4" spans="1:16" x14ac:dyDescent="0.3">
      <c r="A4" s="2" t="s">
        <v>141</v>
      </c>
      <c r="B4" s="2" t="s">
        <v>76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8">
        <v>6</v>
      </c>
      <c r="K4" s="8">
        <v>2</v>
      </c>
      <c r="L4" s="8">
        <v>1</v>
      </c>
      <c r="M4" s="8">
        <v>6</v>
      </c>
      <c r="N4" s="8">
        <v>2</v>
      </c>
      <c r="O4" s="8">
        <v>1</v>
      </c>
    </row>
    <row r="5" spans="1:16" x14ac:dyDescent="0.3">
      <c r="A5" s="2" t="s">
        <v>139</v>
      </c>
      <c r="B5" s="2" t="s">
        <v>72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8">
        <v>6</v>
      </c>
      <c r="K5" s="8">
        <v>2</v>
      </c>
      <c r="L5" s="8">
        <v>1</v>
      </c>
      <c r="M5" s="8">
        <v>6</v>
      </c>
      <c r="N5" s="8">
        <v>2</v>
      </c>
      <c r="O5" s="8">
        <v>1</v>
      </c>
    </row>
    <row r="6" spans="1:16" x14ac:dyDescent="0.3">
      <c r="A6" s="2" t="s">
        <v>139</v>
      </c>
      <c r="B6" s="2" t="s">
        <v>76</v>
      </c>
      <c r="C6">
        <v>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</sheetData>
  <phoneticPr fontId="7" type="noConversion"/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A2" sqref="A2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130</v>
      </c>
      <c r="B1" s="5" t="s">
        <v>131</v>
      </c>
      <c r="C1" s="5" t="s">
        <v>142</v>
      </c>
      <c r="D1" s="5" t="s">
        <v>143</v>
      </c>
      <c r="E1" s="5" t="s">
        <v>144</v>
      </c>
      <c r="F1" s="5" t="s">
        <v>171</v>
      </c>
      <c r="G1" s="5" t="s">
        <v>172</v>
      </c>
      <c r="H1" s="5" t="s">
        <v>173</v>
      </c>
      <c r="I1" s="5" t="s">
        <v>145</v>
      </c>
    </row>
    <row r="2" spans="1:9" ht="28.8" x14ac:dyDescent="0.3">
      <c r="A2" s="2" t="s">
        <v>161</v>
      </c>
      <c r="B2" s="2" t="s">
        <v>72</v>
      </c>
      <c r="C2" s="6" t="s">
        <v>157</v>
      </c>
      <c r="D2" s="6"/>
      <c r="E2" s="6"/>
      <c r="F2" s="6"/>
      <c r="G2" s="6"/>
      <c r="H2" s="6"/>
      <c r="I2" s="2" t="s">
        <v>146</v>
      </c>
    </row>
    <row r="3" spans="1:9" ht="28.8" x14ac:dyDescent="0.3">
      <c r="A3" s="2" t="s">
        <v>141</v>
      </c>
      <c r="B3" s="2" t="s">
        <v>72</v>
      </c>
      <c r="C3" s="6" t="s">
        <v>157</v>
      </c>
      <c r="D3" s="6"/>
      <c r="E3" s="6"/>
      <c r="F3" s="6"/>
      <c r="G3" s="6"/>
      <c r="H3" s="6"/>
      <c r="I3" s="2" t="s">
        <v>146</v>
      </c>
    </row>
    <row r="4" spans="1:9" x14ac:dyDescent="0.3">
      <c r="A4" s="2" t="s">
        <v>141</v>
      </c>
      <c r="B4" s="2" t="s">
        <v>76</v>
      </c>
      <c r="C4" s="6" t="s">
        <v>157</v>
      </c>
      <c r="D4" s="6"/>
      <c r="E4" s="6"/>
      <c r="F4" s="6"/>
      <c r="G4" s="6"/>
      <c r="H4" s="6"/>
      <c r="I4" s="2"/>
    </row>
    <row r="5" spans="1:9" x14ac:dyDescent="0.3">
      <c r="A5" s="2" t="s">
        <v>139</v>
      </c>
      <c r="B5" s="2" t="s">
        <v>72</v>
      </c>
      <c r="C5" s="6" t="s">
        <v>157</v>
      </c>
      <c r="D5" s="6"/>
      <c r="E5" s="6"/>
      <c r="F5" s="6"/>
      <c r="G5" s="6"/>
      <c r="H5" s="6"/>
      <c r="I5" s="2" t="s">
        <v>147</v>
      </c>
    </row>
    <row r="6" spans="1:9" x14ac:dyDescent="0.3">
      <c r="A6" s="2" t="s">
        <v>139</v>
      </c>
      <c r="B6" s="2" t="s">
        <v>76</v>
      </c>
      <c r="C6" s="6" t="s">
        <v>157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activeCell="A4" sqref="A4:XFD4"/>
    </sheetView>
  </sheetViews>
  <sheetFormatPr baseColWidth="10" defaultColWidth="9.109375" defaultRowHeight="14.4" x14ac:dyDescent="0.3"/>
  <cols>
    <col min="1" max="1" width="23" customWidth="1"/>
    <col min="2" max="2" width="6.6640625" bestFit="1" customWidth="1"/>
    <col min="3" max="3" width="30" customWidth="1"/>
    <col min="4" max="4" width="2.33203125" bestFit="1" customWidth="1"/>
    <col min="5" max="5" width="2" bestFit="1" customWidth="1"/>
  </cols>
  <sheetData>
    <row r="1" spans="1:5" x14ac:dyDescent="0.3">
      <c r="A1" s="5" t="s">
        <v>148</v>
      </c>
      <c r="B1" s="5" t="s">
        <v>157</v>
      </c>
      <c r="C1" s="12" t="s">
        <v>30</v>
      </c>
      <c r="D1" s="12" t="s">
        <v>31</v>
      </c>
      <c r="E1" s="12" t="s">
        <v>33</v>
      </c>
    </row>
    <row r="2" spans="1:5" x14ac:dyDescent="0.3">
      <c r="A2" s="3" t="s">
        <v>157</v>
      </c>
      <c r="B2" s="3">
        <v>1</v>
      </c>
      <c r="C2" s="13">
        <v>1</v>
      </c>
      <c r="D2" s="13">
        <v>1</v>
      </c>
      <c r="E2" s="13">
        <v>1</v>
      </c>
    </row>
    <row r="3" spans="1:5" x14ac:dyDescent="0.3">
      <c r="A3" s="3" t="s">
        <v>30</v>
      </c>
      <c r="B3" s="3">
        <v>0</v>
      </c>
      <c r="C3" s="13">
        <v>1</v>
      </c>
      <c r="D3" s="13">
        <v>1</v>
      </c>
      <c r="E3" s="13">
        <v>1</v>
      </c>
    </row>
    <row r="4" spans="1:5" x14ac:dyDescent="0.3">
      <c r="A4" s="3" t="s">
        <v>31</v>
      </c>
      <c r="B4" s="3">
        <v>0</v>
      </c>
      <c r="C4" s="13">
        <v>1</v>
      </c>
      <c r="D4" s="13">
        <v>1</v>
      </c>
      <c r="E4" s="13">
        <v>1</v>
      </c>
    </row>
    <row r="5" spans="1:5" x14ac:dyDescent="0.3">
      <c r="A5" s="3" t="s">
        <v>33</v>
      </c>
      <c r="B5" s="3">
        <v>0</v>
      </c>
      <c r="C5" s="13">
        <v>0</v>
      </c>
      <c r="D5" s="13">
        <v>0</v>
      </c>
      <c r="E5" s="13">
        <v>1</v>
      </c>
    </row>
    <row r="6" spans="1:5" x14ac:dyDescent="0.3">
      <c r="A6" s="2"/>
      <c r="B6" s="2"/>
      <c r="C6" s="2"/>
      <c r="D6" s="2"/>
      <c r="E6" s="2"/>
    </row>
    <row r="7" spans="1:5" ht="28.8" x14ac:dyDescent="0.3">
      <c r="A7" s="3" t="s">
        <v>149</v>
      </c>
      <c r="B7" s="3"/>
      <c r="C7" s="2" t="s">
        <v>150</v>
      </c>
      <c r="D7" s="2"/>
      <c r="E7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topLeftCell="A13" workbookViewId="0">
      <selection activeCell="B27" sqref="B27:G57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151</v>
      </c>
      <c r="B1" s="5" t="s">
        <v>121</v>
      </c>
      <c r="C1" s="5" t="s">
        <v>122</v>
      </c>
      <c r="D1" s="5" t="s">
        <v>152</v>
      </c>
      <c r="E1" s="5" t="s">
        <v>123</v>
      </c>
    </row>
    <row r="2" spans="1:5" x14ac:dyDescent="0.3">
      <c r="A2" s="7" t="s">
        <v>153</v>
      </c>
      <c r="B2" s="7"/>
      <c r="C2" s="7"/>
      <c r="D2" s="9" t="s">
        <v>154</v>
      </c>
      <c r="E2" s="7" t="s">
        <v>1</v>
      </c>
    </row>
    <row r="3" spans="1:5" x14ac:dyDescent="0.3">
      <c r="A3" s="7" t="str">
        <f>Suppliers!A2</f>
        <v>S01</v>
      </c>
      <c r="B3" s="7"/>
      <c r="C3" s="7"/>
      <c r="D3" s="9" t="s">
        <v>155</v>
      </c>
      <c r="E3" s="7" t="str">
        <f>Suppliers!D2</f>
        <v>EV</v>
      </c>
    </row>
    <row r="4" spans="1:5" x14ac:dyDescent="0.3">
      <c r="A4" s="7" t="str">
        <f>Suppliers!A3</f>
        <v>S01</v>
      </c>
      <c r="B4" s="7"/>
      <c r="C4" s="7"/>
      <c r="D4" s="9" t="s">
        <v>155</v>
      </c>
      <c r="E4" s="7" t="str">
        <f>Suppliers!D3</f>
        <v>V</v>
      </c>
    </row>
    <row r="5" spans="1:5" x14ac:dyDescent="0.3">
      <c r="A5" s="7" t="s">
        <v>128</v>
      </c>
      <c r="B5" s="7"/>
      <c r="C5" s="7"/>
      <c r="D5" s="9" t="s">
        <v>155</v>
      </c>
      <c r="E5" s="7" t="s">
        <v>33</v>
      </c>
    </row>
    <row r="6" spans="1:5" x14ac:dyDescent="0.3">
      <c r="A6" s="7" t="str">
        <f>Suppliers!A5</f>
        <v>S02</v>
      </c>
      <c r="B6" s="7"/>
      <c r="C6" s="7"/>
      <c r="D6" s="9" t="s">
        <v>155</v>
      </c>
      <c r="E6" s="7" t="str">
        <f>Suppliers!D5</f>
        <v>EV</v>
      </c>
    </row>
    <row r="7" spans="1:5" x14ac:dyDescent="0.3">
      <c r="A7" s="7" t="str">
        <f>Suppliers!A6</f>
        <v>S02</v>
      </c>
      <c r="B7" s="7"/>
      <c r="C7" s="7"/>
      <c r="D7" s="9" t="s">
        <v>155</v>
      </c>
      <c r="E7" s="7" t="str">
        <f>Suppliers!D6</f>
        <v>V</v>
      </c>
    </row>
    <row r="8" spans="1:5" x14ac:dyDescent="0.3">
      <c r="A8" s="7" t="s">
        <v>129</v>
      </c>
      <c r="B8" s="7"/>
      <c r="C8" s="7"/>
      <c r="D8" s="9" t="s">
        <v>155</v>
      </c>
      <c r="E8" s="7" t="s">
        <v>33</v>
      </c>
    </row>
    <row r="9" spans="1:5" x14ac:dyDescent="0.3">
      <c r="A9" s="7" t="s">
        <v>158</v>
      </c>
      <c r="E9" t="s">
        <v>30</v>
      </c>
    </row>
    <row r="10" spans="1:5" x14ac:dyDescent="0.3">
      <c r="A10" s="7" t="s">
        <v>158</v>
      </c>
      <c r="E10" t="s">
        <v>31</v>
      </c>
    </row>
    <row r="11" spans="1:5" x14ac:dyDescent="0.3">
      <c r="A11" s="7" t="s">
        <v>158</v>
      </c>
      <c r="E11" t="s">
        <v>33</v>
      </c>
    </row>
    <row r="12" spans="1:5" x14ac:dyDescent="0.3">
      <c r="A12" s="7" t="s">
        <v>159</v>
      </c>
      <c r="E12" t="s">
        <v>30</v>
      </c>
    </row>
    <row r="13" spans="1:5" x14ac:dyDescent="0.3">
      <c r="A13" s="7" t="s">
        <v>159</v>
      </c>
      <c r="E13" t="s">
        <v>31</v>
      </c>
    </row>
    <row r="14" spans="1:5" x14ac:dyDescent="0.3">
      <c r="A14" s="7" t="s">
        <v>159</v>
      </c>
      <c r="E14" t="s">
        <v>33</v>
      </c>
    </row>
    <row r="15" spans="1:5" x14ac:dyDescent="0.3">
      <c r="A15" s="7" t="s">
        <v>160</v>
      </c>
      <c r="E15" t="s">
        <v>30</v>
      </c>
    </row>
    <row r="16" spans="1:5" x14ac:dyDescent="0.3">
      <c r="A16" s="7" t="s">
        <v>160</v>
      </c>
      <c r="E16" t="s">
        <v>31</v>
      </c>
    </row>
    <row r="17" spans="1:5" x14ac:dyDescent="0.3">
      <c r="A17" s="7" t="s">
        <v>160</v>
      </c>
      <c r="E17" t="s">
        <v>33</v>
      </c>
    </row>
    <row r="18" spans="1:5" x14ac:dyDescent="0.3">
      <c r="A18" s="7" t="s">
        <v>174</v>
      </c>
      <c r="E18" t="s">
        <v>30</v>
      </c>
    </row>
    <row r="19" spans="1:5" x14ac:dyDescent="0.3">
      <c r="A19" s="7" t="s">
        <v>174</v>
      </c>
      <c r="E19" t="s">
        <v>31</v>
      </c>
    </row>
    <row r="20" spans="1:5" x14ac:dyDescent="0.3">
      <c r="A20" s="7" t="s">
        <v>174</v>
      </c>
      <c r="E20" t="s">
        <v>33</v>
      </c>
    </row>
    <row r="21" spans="1:5" x14ac:dyDescent="0.3">
      <c r="A21" s="7" t="s">
        <v>175</v>
      </c>
      <c r="E21" t="s">
        <v>30</v>
      </c>
    </row>
    <row r="22" spans="1:5" x14ac:dyDescent="0.3">
      <c r="A22" s="7" t="s">
        <v>175</v>
      </c>
      <c r="E22" t="s">
        <v>31</v>
      </c>
    </row>
    <row r="23" spans="1:5" x14ac:dyDescent="0.3">
      <c r="A23" s="7" t="s">
        <v>175</v>
      </c>
      <c r="E23" t="s">
        <v>33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0"/>
  <sheetViews>
    <sheetView workbookViewId="0">
      <selection activeCell="B13" sqref="B13:I20"/>
    </sheetView>
  </sheetViews>
  <sheetFormatPr baseColWidth="10" defaultColWidth="9.109375" defaultRowHeight="14.4" x14ac:dyDescent="0.3"/>
  <cols>
    <col min="1" max="1" width="12" customWidth="1"/>
    <col min="2" max="4" width="30" customWidth="1"/>
  </cols>
  <sheetData>
    <row r="1" spans="1:9" x14ac:dyDescent="0.3">
      <c r="A1" s="5" t="s">
        <v>156</v>
      </c>
      <c r="B1" s="5" t="str">
        <f>Nodes!A2</f>
        <v>D0</v>
      </c>
      <c r="C1" s="5" t="str">
        <f>Nodes!A3</f>
        <v>S01</v>
      </c>
      <c r="D1" s="5" t="str">
        <f>Nodes!A6</f>
        <v>S02</v>
      </c>
      <c r="E1" t="s">
        <v>158</v>
      </c>
      <c r="F1" t="s">
        <v>159</v>
      </c>
      <c r="G1" t="s">
        <v>160</v>
      </c>
      <c r="H1" t="s">
        <v>174</v>
      </c>
      <c r="I1" t="s">
        <v>175</v>
      </c>
    </row>
    <row r="2" spans="1:9" x14ac:dyDescent="0.3">
      <c r="A2" s="3" t="str">
        <f>Nodes!A2</f>
        <v>D0</v>
      </c>
      <c r="B2" s="10">
        <v>0</v>
      </c>
      <c r="C2" s="10">
        <v>35</v>
      </c>
      <c r="D2" s="10">
        <v>117</v>
      </c>
      <c r="E2">
        <v>65</v>
      </c>
      <c r="F2">
        <v>40</v>
      </c>
      <c r="G2">
        <v>76</v>
      </c>
      <c r="H2">
        <v>188</v>
      </c>
      <c r="I2">
        <v>50</v>
      </c>
    </row>
    <row r="3" spans="1:9" x14ac:dyDescent="0.3">
      <c r="A3" s="3" t="str">
        <f>Nodes!A3</f>
        <v>S01</v>
      </c>
      <c r="B3" s="10">
        <v>35</v>
      </c>
      <c r="C3" s="10">
        <v>0</v>
      </c>
      <c r="D3" s="10">
        <v>131</v>
      </c>
      <c r="E3">
        <v>35</v>
      </c>
      <c r="F3">
        <v>60</v>
      </c>
      <c r="G3">
        <v>52</v>
      </c>
      <c r="H3">
        <v>154</v>
      </c>
      <c r="I3">
        <v>57</v>
      </c>
    </row>
    <row r="4" spans="1:9" x14ac:dyDescent="0.3">
      <c r="A4" s="3" t="str">
        <f>Nodes!A6</f>
        <v>S02</v>
      </c>
      <c r="B4" s="10">
        <v>117</v>
      </c>
      <c r="C4" s="10">
        <v>131</v>
      </c>
      <c r="D4" s="10">
        <v>0</v>
      </c>
      <c r="E4">
        <v>96</v>
      </c>
      <c r="F4">
        <v>90</v>
      </c>
      <c r="G4">
        <v>80</v>
      </c>
      <c r="H4">
        <v>166</v>
      </c>
      <c r="I4">
        <v>75</v>
      </c>
    </row>
    <row r="5" spans="1:9" x14ac:dyDescent="0.3">
      <c r="A5" s="3" t="s">
        <v>158</v>
      </c>
      <c r="B5">
        <v>65</v>
      </c>
      <c r="C5">
        <v>35</v>
      </c>
      <c r="D5">
        <v>96</v>
      </c>
      <c r="E5">
        <v>0</v>
      </c>
      <c r="F5">
        <v>90</v>
      </c>
      <c r="G5">
        <v>25</v>
      </c>
      <c r="H5">
        <v>129</v>
      </c>
      <c r="I5">
        <v>71</v>
      </c>
    </row>
    <row r="6" spans="1:9" x14ac:dyDescent="0.3">
      <c r="A6" s="3" t="s">
        <v>159</v>
      </c>
      <c r="B6">
        <v>40</v>
      </c>
      <c r="C6">
        <v>60</v>
      </c>
      <c r="D6">
        <v>90</v>
      </c>
      <c r="E6">
        <v>90</v>
      </c>
      <c r="F6">
        <v>0</v>
      </c>
      <c r="G6">
        <v>70</v>
      </c>
      <c r="H6">
        <v>160</v>
      </c>
      <c r="I6">
        <v>30</v>
      </c>
    </row>
    <row r="7" spans="1:9" x14ac:dyDescent="0.3">
      <c r="A7" t="s">
        <v>160</v>
      </c>
      <c r="B7">
        <v>76</v>
      </c>
      <c r="C7">
        <v>52</v>
      </c>
      <c r="D7">
        <v>80</v>
      </c>
      <c r="E7">
        <v>25</v>
      </c>
      <c r="F7">
        <v>70</v>
      </c>
      <c r="G7">
        <v>0</v>
      </c>
      <c r="H7">
        <v>113</v>
      </c>
      <c r="I7">
        <v>80</v>
      </c>
    </row>
    <row r="8" spans="1:9" x14ac:dyDescent="0.3">
      <c r="A8" s="3" t="s">
        <v>174</v>
      </c>
      <c r="B8">
        <v>188</v>
      </c>
      <c r="C8">
        <v>154</v>
      </c>
      <c r="D8">
        <v>166</v>
      </c>
      <c r="E8">
        <v>129</v>
      </c>
      <c r="F8">
        <v>160</v>
      </c>
      <c r="G8">
        <v>113</v>
      </c>
      <c r="H8">
        <v>0</v>
      </c>
      <c r="I8">
        <v>187</v>
      </c>
    </row>
    <row r="9" spans="1:9" x14ac:dyDescent="0.3">
      <c r="A9" s="3" t="s">
        <v>175</v>
      </c>
      <c r="B9">
        <v>50</v>
      </c>
      <c r="C9">
        <v>57</v>
      </c>
      <c r="D9">
        <v>75</v>
      </c>
      <c r="E9">
        <v>71</v>
      </c>
      <c r="F9">
        <v>30</v>
      </c>
      <c r="G9">
        <v>80</v>
      </c>
      <c r="H9">
        <v>187</v>
      </c>
      <c r="I9">
        <v>0</v>
      </c>
    </row>
    <row r="13" spans="1:9" x14ac:dyDescent="0.3">
      <c r="B13" s="16"/>
      <c r="C13" s="16"/>
      <c r="D13" s="16"/>
      <c r="E13" s="16"/>
      <c r="F13" s="16"/>
      <c r="G13" s="16"/>
      <c r="H13" s="16"/>
      <c r="I13" s="16"/>
    </row>
    <row r="14" spans="1:9" x14ac:dyDescent="0.3">
      <c r="B14" s="16"/>
      <c r="C14" s="16"/>
      <c r="D14" s="16"/>
      <c r="E14" s="16"/>
      <c r="F14" s="16"/>
      <c r="G14" s="16"/>
      <c r="H14" s="16"/>
      <c r="I14" s="16"/>
    </row>
    <row r="15" spans="1:9" x14ac:dyDescent="0.3">
      <c r="B15" s="16"/>
      <c r="C15" s="16"/>
      <c r="D15" s="16"/>
      <c r="E15" s="16"/>
      <c r="F15" s="16"/>
      <c r="G15" s="16"/>
      <c r="H15" s="16"/>
      <c r="I15" s="16"/>
    </row>
    <row r="16" spans="1:9" x14ac:dyDescent="0.3">
      <c r="B16" s="16"/>
      <c r="C16" s="16"/>
      <c r="D16" s="16"/>
      <c r="E16" s="16"/>
      <c r="F16" s="16"/>
      <c r="G16" s="16"/>
      <c r="H16" s="16"/>
      <c r="I16" s="16"/>
    </row>
    <row r="17" spans="2:9" x14ac:dyDescent="0.3">
      <c r="B17" s="16"/>
      <c r="C17" s="16"/>
      <c r="D17" s="16"/>
      <c r="E17" s="16"/>
      <c r="F17" s="16"/>
      <c r="G17" s="16"/>
      <c r="H17" s="16"/>
      <c r="I17" s="16"/>
    </row>
    <row r="18" spans="2:9" x14ac:dyDescent="0.3">
      <c r="B18" s="16"/>
      <c r="C18" s="16"/>
      <c r="D18" s="16"/>
      <c r="E18" s="16"/>
      <c r="F18" s="16"/>
      <c r="G18" s="16"/>
      <c r="H18" s="16"/>
      <c r="I18" s="16"/>
    </row>
    <row r="19" spans="2:9" x14ac:dyDescent="0.3">
      <c r="B19" s="16"/>
      <c r="C19" s="16"/>
      <c r="D19" s="16"/>
      <c r="E19" s="16"/>
      <c r="F19" s="16"/>
      <c r="G19" s="16"/>
      <c r="H19" s="16"/>
      <c r="I19" s="16"/>
    </row>
    <row r="20" spans="2:9" x14ac:dyDescent="0.3">
      <c r="B20" s="16"/>
      <c r="C20" s="16"/>
      <c r="D20" s="16"/>
      <c r="E20" s="16"/>
      <c r="F20" s="16"/>
      <c r="G20" s="16"/>
      <c r="H20" s="16"/>
      <c r="I20" s="16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2026-07-19T11:18:27Z</dcterms:modified>
</cp:coreProperties>
</file>