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hodhbeni.imed\Desktop\py.2\"/>
    </mc:Choice>
  </mc:AlternateContent>
  <xr:revisionPtr revIDLastSave="0" documentId="8_{8377A527-1B0A-4968-931D-8022C651577D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81029"/>
</workbook>
</file>

<file path=xl/calcChain.xml><?xml version="1.0" encoding="utf-8"?>
<calcChain xmlns="http://schemas.openxmlformats.org/spreadsheetml/2006/main">
  <c r="E6" i="9" l="1"/>
  <c r="E5" i="9"/>
  <c r="A2" i="10"/>
  <c r="B1" i="10"/>
  <c r="C6" i="9"/>
  <c r="B6" i="9"/>
  <c r="A6" i="9"/>
  <c r="C5" i="9"/>
  <c r="B5" i="9"/>
  <c r="A5" i="9"/>
  <c r="D1" i="10" s="1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<sst xmlns="http://schemas.openxmlformats.org/spreadsheetml/2006/main" count="376" uniqueCount="185">
  <si>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</si>
  <si>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</si>
  <si>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</si>
  <si>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</si>
  <si>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</si>
  <si>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</si>
  <si>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</si>
  <si>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</si>
  <si>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</si>
  <si>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</si>
  <si>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</si>
  <si>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</si>
  <si>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</si>
  <si>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</si>
  <si>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</si>
  <si>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</si>
  <si>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</si>
  <si>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</si>
  <si>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</si>
  <si>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</si>
  <si>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</si>
  <si>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</si>
  <si>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</si>
  <si>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</si>
  <si>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</si>
  <si>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</si>
  <si>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</si>
  <si>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</si>
  <si>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</si>
  <si>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</si>
  <si>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</si>
  <si>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</si>
  <si>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</si>
  <si>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</si>
  <si>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</si>
  <si>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</si>
  <si>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</si>
  <si>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</si>
  <si>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</si>
  <si>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</si>
  <si>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</si>
  <si>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</si>
  <si>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</si>
  <si>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</si>
  <si>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</si>
  <si>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</si>
  <si>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</si>
  <si>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</si>
  <si>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</si>
  <si>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</si>
  <si>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</si>
  <si>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</si>
  <si>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</si>
  <si>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</si>
  <si>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</si>
  <si>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</si>
  <si>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</si>
  <si>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</si>
  <si>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</si>
  <si>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</si>
  <si>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</si>
  <si>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</si>
  <si>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</si>
  <si>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</si>
  <si>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</si>
  <si>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</si>
  <si>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</si>
  <si>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</si>
  <si>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</si>
  <si>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</si>
  <si>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</si>
  <si>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</si>
  <si>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</si>
  <si>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</si>
  <si>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</si>
  <si>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</si>
  <si>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</si>
  <si>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</si>
  <si>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</si>
  <si>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</si>
  <si>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</si>
  <si>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</si>
  <si>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</si>
  <si>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</si>
  <si>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</si>
  <si>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</si>
  <si>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</si>
  <si>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</si>
  <si>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</si>
  <si>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</si>
  <si>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</si>
  <si>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</si>
  <si>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</si>
  <si>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</si>
  <si>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</si>
  <si>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</si>
  <si>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</si>
  <si>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</si>
  <si>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</si>
  <si>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</si>
  <si>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</si>
  <si>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</si>
  <si>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</si>
  <si>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</si>
  <si>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</si>
  <si>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</si>
  <si>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</si>
  <si>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</si>
  <si>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</si>
  <si>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</si>
  <si>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</si>
  <si>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</si>
  <si>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</si>
  <si>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</si>
  <si>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</si>
  <si>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</si>
  <si>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</si>
  <si>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</si>
  <si>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</si>
  <si>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</si>
  <si>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</si>
  <si>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</si>
  <si>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</si>
  <si>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</si>
  <si>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</si>
  <si>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</si>
  <si>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</si>
  <si>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</si>
  <si>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</si>
  <si>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NorthWest</t>
  </si>
  <si>
    <t>High-quality grove</t>
  </si>
  <si>
    <t>S02</t>
  </si>
  <si>
    <t>Near S07</t>
  </si>
  <si>
    <t>West</t>
  </si>
  <si>
    <t>Small premium producer</t>
  </si>
  <si>
    <t>CenterWest</t>
  </si>
  <si>
    <t>Accessible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</si>
  <si>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</si>
  <si>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</si>
  <si>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</si>
  <si>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</si>
  <si>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</si>
  <si>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</si>
  <si>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</si>
  <si>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</si>
  <si>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</si>
  <si>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</si>
  <si>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</si>
  <si>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</si>
  <si>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</si>
  <si>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</si>
  <si>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</si>
  <si>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</si>
  <si>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</si>
  <si>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</si>
  <si>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</si>
  <si>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</si>
  <si>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</si>
  <si>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</si>
  <si>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</si>
  <si>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</si>
  <si>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</si>
  <si>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</si>
  <si>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</si>
  <si>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</si>
  <si>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</si>
  <si>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</si>
  <si>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</si>
  <si>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</si>
  <si>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</si>
  <si>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</si>
  <si>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</si>
  <si>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</si>
  <si>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</si>
  <si>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</si>
  <si>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</si>
  <si>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</si>
  <si>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</si>
  <si>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</si>
  <si>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</si>
  <si>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</si>
  <si>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S06</t>
  </si>
  <si>
    <t>S07</t>
  </si>
  <si>
    <t>LoadingTimePerTon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</si>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</sst>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16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21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21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3B1ABFD-70E1-CED7-7426-E76FE9A5C1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A2F2B57-BF64-25B1-0EB2-BF653A43C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E025E5E-7EFA-4ACB-3CF2-74B471B328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40625" defaultRowHeight="15" x14ac:dyDescent="0.25"/>
  <cols>
    <col min="1" max="1" width="29" customWidth="1"/>
    <col min="2" max="2" width="30" customWidth="1"/>
  </cols>
  <sheetData>
    <row r="1" spans="1:2" ht="37.5" x14ac:dyDescent="0.25">
      <c r="A1" s="1" t="s">
        <v>0</v>
      </c>
      <c r="B1" s="2" t="s">
        <v>1</v>
      </c>
    </row>
    <row r="2" spans="1:2" ht="90" x14ac:dyDescent="0.25">
      <c r="A2" s="3" t="s">
        <v>2</v>
      </c>
      <c r="B2" s="2" t="s">
        <v>3</v>
      </c>
    </row>
    <row r="3" spans="1:2" ht="30" x14ac:dyDescent="0.25">
      <c r="A3" s="3" t="s">
        <v>4</v>
      </c>
      <c r="B3" s="2" t="s">
        <v>5</v>
      </c>
    </row>
    <row r="4" spans="1:2" ht="45" x14ac:dyDescent="0.25">
      <c r="A4" s="3" t="s">
        <v>6</v>
      </c>
      <c r="B4" s="2" t="s">
        <v>7</v>
      </c>
    </row>
    <row r="5" spans="1:2" x14ac:dyDescent="0.25">
      <c r="A5" s="3" t="s">
        <v>8</v>
      </c>
      <c r="B5" s="2" t="s">
        <v>1</v>
      </c>
    </row>
    <row r="6" spans="1:2" ht="60" x14ac:dyDescent="0.25">
      <c r="A6" s="3" t="s">
        <v>9</v>
      </c>
      <c r="B6" s="2" t="s">
        <v>10</v>
      </c>
    </row>
    <row r="7" spans="1:2" ht="45" x14ac:dyDescent="0.25">
      <c r="A7" s="3" t="s">
        <v>11</v>
      </c>
      <c r="B7" s="2" t="s">
        <v>12</v>
      </c>
    </row>
    <row r="8" spans="1:2" ht="60" x14ac:dyDescent="0.25">
      <c r="A8" s="3" t="s">
        <v>13</v>
      </c>
      <c r="B8" s="2" t="s">
        <v>14</v>
      </c>
    </row>
    <row r="9" spans="1:2" ht="45" x14ac:dyDescent="0.25">
      <c r="A9" s="3" t="s">
        <v>15</v>
      </c>
      <c r="B9" s="2" t="s">
        <v>16</v>
      </c>
    </row>
    <row r="10" spans="1:2" ht="60" x14ac:dyDescent="0.25">
      <c r="A10" s="3" t="s">
        <v>17</v>
      </c>
      <c r="B10" s="2" t="s">
        <v>18</v>
      </c>
    </row>
    <row r="11" spans="1:2" ht="45" x14ac:dyDescent="0.25">
      <c r="A11" s="3" t="s">
        <v>19</v>
      </c>
      <c r="B11" s="2" t="s">
        <v>20</v>
      </c>
    </row>
    <row r="12" spans="1:2" ht="45" x14ac:dyDescent="0.25">
      <c r="A12" s="3" t="s">
        <v>21</v>
      </c>
      <c r="B12" s="2" t="s">
        <v>22</v>
      </c>
    </row>
    <row r="13" spans="1:2" ht="60" x14ac:dyDescent="0.25">
      <c r="A13" s="3" t="s">
        <v>23</v>
      </c>
      <c r="B13" s="2" t="s">
        <v>24</v>
      </c>
    </row>
    <row r="14" spans="1:2" ht="75" x14ac:dyDescent="0.25">
      <c r="A14" s="3" t="s">
        <v>25</v>
      </c>
      <c r="B14" s="2" t="s">
        <v>26</v>
      </c>
    </row>
    <row r="15" spans="1:2" ht="60" x14ac:dyDescent="0.25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40625" defaultRowHeight="15" x14ac:dyDescent="0.25"/>
  <cols>
    <col min="1" max="1" width="16" customWidth="1"/>
  </cols>
  <sheetData>
    <row r="1" spans="1:1" x14ac:dyDescent="0.25">
      <c r="A1" s="4" t="s">
        <v>29</v>
      </c>
    </row>
    <row r="2" spans="1:1" x14ac:dyDescent="0.25">
      <c r="A2" s="2" t="s">
        <v>30</v>
      </c>
    </row>
    <row r="3" spans="1:1" x14ac:dyDescent="0.25">
      <c r="A3" s="2" t="s">
        <v>31</v>
      </c>
    </row>
    <row r="4" spans="1:1" x14ac:dyDescent="0.25">
      <c r="A4" s="2" t="s">
        <v>32</v>
      </c>
    </row>
    <row r="5" spans="1:1" x14ac:dyDescent="0.25">
      <c r="A5" s="2" t="s">
        <v>33</v>
      </c>
    </row>
    <row r="6" spans="1:1" x14ac:dyDescent="0.25">
      <c r="A6" s="2"/>
    </row>
    <row r="7" spans="1:1" x14ac:dyDescent="0.25">
      <c r="A7" s="4" t="s">
        <v>34</v>
      </c>
    </row>
    <row r="8" spans="1:1" x14ac:dyDescent="0.25">
      <c r="A8" s="2" t="s">
        <v>35</v>
      </c>
    </row>
    <row r="9" spans="1:1" x14ac:dyDescent="0.25">
      <c r="A9" s="2" t="s">
        <v>36</v>
      </c>
    </row>
    <row r="10" spans="1:1" x14ac:dyDescent="0.25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40625" defaultRowHeight="15" x14ac:dyDescent="0.25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25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25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25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25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25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25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25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25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25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25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25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25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selection activeCell="B17" sqref="B17"/>
    </sheetView>
  </sheetViews>
  <sheetFormatPr baseColWidth="10" defaultColWidth="9.140625" defaultRowHeight="15" x14ac:dyDescent="0.25"/>
  <cols>
    <col min="1" max="2" width="30" customWidth="1"/>
    <col min="3" max="3" width="10" customWidth="1"/>
    <col min="4" max="4" width="30" customWidth="1"/>
  </cols>
  <sheetData>
    <row r="1" spans="1:4" x14ac:dyDescent="0.25">
      <c r="A1" s="5" t="s">
        <v>84</v>
      </c>
      <c r="B1" s="5" t="s">
        <v>85</v>
      </c>
      <c r="C1" s="5" t="s">
        <v>86</v>
      </c>
      <c r="D1" s="5" t="s">
        <v>87</v>
      </c>
    </row>
    <row r="2" spans="1:4" ht="30" x14ac:dyDescent="0.25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25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25">
      <c r="A4" s="2" t="s">
        <v>40</v>
      </c>
      <c r="B4" s="7">
        <v>7</v>
      </c>
      <c r="C4" s="2" t="s">
        <v>91</v>
      </c>
      <c r="D4" s="2" t="s">
        <v>92</v>
      </c>
    </row>
    <row r="5" spans="1:4" x14ac:dyDescent="0.25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25">
      <c r="A6" s="14" t="s">
        <v>183</v>
      </c>
      <c r="B6" s="15">
        <v>1</v>
      </c>
      <c r="C6" s="2" t="s">
        <v>91</v>
      </c>
      <c r="D6" s="2" t="s">
        <v>92</v>
      </c>
    </row>
    <row r="7" spans="1:4" x14ac:dyDescent="0.25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25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25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25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25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25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25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25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25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25">
      <c r="A16" s="2" t="s">
        <v>95</v>
      </c>
      <c r="B16" s="8">
        <v>50</v>
      </c>
      <c r="C16" s="2" t="s">
        <v>89</v>
      </c>
      <c r="D16" s="2" t="s">
        <v>96</v>
      </c>
    </row>
    <row r="17" spans="1:4" ht="30" x14ac:dyDescent="0.25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25">
      <c r="A18" s="2" t="s">
        <v>99</v>
      </c>
      <c r="B18" s="8">
        <v>1</v>
      </c>
      <c r="C18" s="2" t="s">
        <v>89</v>
      </c>
      <c r="D18" s="2" t="s">
        <v>100</v>
      </c>
    </row>
    <row r="19" spans="1:4" ht="60" x14ac:dyDescent="0.25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25">
      <c r="A20" s="2"/>
      <c r="B20" s="2"/>
      <c r="C20" s="2"/>
      <c r="D20" s="2"/>
    </row>
    <row r="21" spans="1:4" x14ac:dyDescent="0.25">
      <c r="A21" s="3" t="s">
        <v>105</v>
      </c>
      <c r="B21" s="3"/>
      <c r="C21" s="3"/>
      <c r="D21" s="3"/>
    </row>
    <row r="22" spans="1:4" x14ac:dyDescent="0.25">
      <c r="A22" s="2" t="s">
        <v>106</v>
      </c>
      <c r="B22" s="10">
        <f>SUM(Suppliers!E2:E4)</f>
        <v>10</v>
      </c>
      <c r="C22" s="2" t="s">
        <v>91</v>
      </c>
      <c r="D22" s="2" t="s">
        <v>107</v>
      </c>
    </row>
    <row r="23" spans="1:4" x14ac:dyDescent="0.25">
      <c r="A23" s="2" t="s">
        <v>108</v>
      </c>
      <c r="B23" s="10">
        <f>SUM(Suppliers!F2:F4)</f>
        <v>7.2</v>
      </c>
      <c r="C23" s="2" t="s">
        <v>91</v>
      </c>
      <c r="D23" s="2" t="s">
        <v>107</v>
      </c>
    </row>
    <row r="24" spans="1:4" x14ac:dyDescent="0.25">
      <c r="A24" s="2" t="s">
        <v>109</v>
      </c>
      <c r="B24" s="10">
        <f>SUM(Suppliers!G2:G4)</f>
        <v>6.59</v>
      </c>
      <c r="C24" s="2" t="s">
        <v>91</v>
      </c>
      <c r="D24" s="2" t="s">
        <v>107</v>
      </c>
    </row>
    <row r="25" spans="1:4" ht="30" x14ac:dyDescent="0.25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25">
      <c r="A26" s="2" t="s">
        <v>112</v>
      </c>
      <c r="B26" s="10">
        <f>SUMPRODUCT(Fleet!$C$2:$C$3,Fleet!$D$2:$D$3)*$B$17</f>
        <v>60</v>
      </c>
      <c r="C26" s="2" t="s">
        <v>91</v>
      </c>
      <c r="D26" s="2" t="s">
        <v>113</v>
      </c>
    </row>
    <row r="27" spans="1:4" x14ac:dyDescent="0.25">
      <c r="A27" s="2" t="s">
        <v>114</v>
      </c>
      <c r="B27" s="10">
        <f>SUMPRODUCT(Fleet!$C$2:$C$3,Fleet!$E$2:$E$3)*$B$17</f>
        <v>60</v>
      </c>
      <c r="C27" s="2" t="s">
        <v>91</v>
      </c>
      <c r="D27" s="2" t="s">
        <v>113</v>
      </c>
    </row>
    <row r="28" spans="1:4" x14ac:dyDescent="0.25">
      <c r="A28" s="2" t="s">
        <v>115</v>
      </c>
      <c r="B28" s="10">
        <f>SUMPRODUCT(Fleet!$C$2:$C$3,Fleet!$F$2:$F$3)*$B$17</f>
        <v>60</v>
      </c>
      <c r="C28" s="2" t="s">
        <v>91</v>
      </c>
      <c r="D28" s="2" t="s">
        <v>113</v>
      </c>
    </row>
    <row r="29" spans="1:4" x14ac:dyDescent="0.25">
      <c r="A29" s="2" t="s">
        <v>116</v>
      </c>
      <c r="B29" s="10">
        <f>IF(B26=0,"",B22/B26)</f>
        <v>0.16666666666666666</v>
      </c>
      <c r="C29" s="2" t="s">
        <v>91</v>
      </c>
      <c r="D29" s="2" t="s">
        <v>117</v>
      </c>
    </row>
    <row r="30" spans="1:4" x14ac:dyDescent="0.25">
      <c r="A30" s="2" t="s">
        <v>118</v>
      </c>
      <c r="B30" s="10">
        <f>IF(B27=0,"",B23/B27)</f>
        <v>0.12000000000000001</v>
      </c>
      <c r="C30" s="2" t="s">
        <v>91</v>
      </c>
      <c r="D30" s="2" t="s">
        <v>117</v>
      </c>
    </row>
    <row r="31" spans="1:4" x14ac:dyDescent="0.25">
      <c r="A31" s="2" t="s">
        <v>119</v>
      </c>
      <c r="B31" s="10">
        <f>IF(B28=0,"",B24/B28)</f>
        <v>0.10983333333333332</v>
      </c>
      <c r="C31" s="2" t="s">
        <v>91</v>
      </c>
      <c r="D31" s="2" t="s">
        <v>117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"/>
  <sheetViews>
    <sheetView workbookViewId="0">
      <selection activeCell="G20" sqref="G20"/>
    </sheetView>
  </sheetViews>
  <sheetFormatPr baseColWidth="10" defaultColWidth="9.140625" defaultRowHeight="15" x14ac:dyDescent="0.25"/>
  <cols>
    <col min="1" max="1" width="13" customWidth="1"/>
    <col min="2" max="4" width="10" customWidth="1"/>
    <col min="5" max="11" width="13" customWidth="1"/>
    <col min="12" max="12" width="30" customWidth="1"/>
  </cols>
  <sheetData>
    <row r="1" spans="1:19" ht="30" x14ac:dyDescent="0.25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169</v>
      </c>
      <c r="I1" s="5" t="s">
        <v>170</v>
      </c>
      <c r="J1" s="5" t="s">
        <v>171</v>
      </c>
      <c r="K1" s="5" t="s">
        <v>127</v>
      </c>
      <c r="L1" s="5" t="s">
        <v>87</v>
      </c>
    </row>
    <row r="2" spans="1:19" x14ac:dyDescent="0.25">
      <c r="A2" s="2" t="s">
        <v>128</v>
      </c>
      <c r="B2" s="8">
        <v>18</v>
      </c>
      <c r="C2" s="8">
        <v>82</v>
      </c>
      <c r="D2" s="6" t="s">
        <v>30</v>
      </c>
      <c r="E2">
        <v>5</v>
      </c>
      <c r="F2">
        <v>3.5</v>
      </c>
      <c r="G2">
        <v>5</v>
      </c>
      <c r="H2">
        <v>4.51</v>
      </c>
      <c r="I2">
        <v>0</v>
      </c>
      <c r="J2">
        <v>0</v>
      </c>
      <c r="K2" s="6" t="s">
        <v>129</v>
      </c>
      <c r="L2" s="6" t="s">
        <v>130</v>
      </c>
    </row>
    <row r="3" spans="1:19" x14ac:dyDescent="0.25">
      <c r="A3" s="2" t="s">
        <v>128</v>
      </c>
      <c r="B3" s="8">
        <v>18</v>
      </c>
      <c r="C3" s="8">
        <v>82</v>
      </c>
      <c r="D3" s="6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6" t="s">
        <v>129</v>
      </c>
      <c r="L3" s="6" t="s">
        <v>132</v>
      </c>
    </row>
    <row r="4" spans="1:19" x14ac:dyDescent="0.25">
      <c r="A4" s="2" t="s">
        <v>131</v>
      </c>
      <c r="B4" s="8">
        <v>28</v>
      </c>
      <c r="C4" s="8">
        <v>68</v>
      </c>
      <c r="D4" s="6" t="s">
        <v>30</v>
      </c>
      <c r="E4">
        <v>5</v>
      </c>
      <c r="F4">
        <v>3.7</v>
      </c>
      <c r="G4">
        <v>1.59</v>
      </c>
      <c r="H4">
        <v>0</v>
      </c>
      <c r="I4">
        <v>0</v>
      </c>
      <c r="J4">
        <v>0</v>
      </c>
      <c r="K4" s="6" t="s">
        <v>133</v>
      </c>
      <c r="L4" s="6" t="s">
        <v>134</v>
      </c>
      <c r="N4" s="11"/>
      <c r="O4" s="11"/>
      <c r="P4" s="11"/>
      <c r="Q4" s="11"/>
      <c r="R4" s="11"/>
      <c r="S4" s="11"/>
    </row>
    <row r="5" spans="1:19" x14ac:dyDescent="0.25">
      <c r="A5" s="2" t="s">
        <v>131</v>
      </c>
      <c r="B5" s="8">
        <v>28</v>
      </c>
      <c r="C5" s="8">
        <v>68</v>
      </c>
      <c r="D5" s="6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6" t="s">
        <v>135</v>
      </c>
      <c r="L5" s="6" t="s">
        <v>136</v>
      </c>
      <c r="N5" s="11"/>
      <c r="O5" s="11"/>
      <c r="P5" s="11"/>
      <c r="Q5" s="11"/>
      <c r="R5" s="11"/>
      <c r="S5" s="11"/>
    </row>
    <row r="6" spans="1:19" x14ac:dyDescent="0.25">
      <c r="A6" s="7" t="s">
        <v>165</v>
      </c>
      <c r="D6" t="s">
        <v>30</v>
      </c>
      <c r="E6">
        <v>0</v>
      </c>
      <c r="F6">
        <v>5</v>
      </c>
      <c r="G6">
        <v>3.31</v>
      </c>
      <c r="H6">
        <v>0</v>
      </c>
      <c r="I6">
        <v>0</v>
      </c>
      <c r="J6">
        <v>0</v>
      </c>
      <c r="N6" s="11"/>
      <c r="O6" s="11"/>
      <c r="P6" s="11"/>
      <c r="Q6" s="11"/>
      <c r="R6" s="11"/>
      <c r="S6" s="11"/>
    </row>
    <row r="7" spans="1:19" x14ac:dyDescent="0.25">
      <c r="A7" s="7" t="s">
        <v>165</v>
      </c>
      <c r="D7" t="s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N7" s="11"/>
      <c r="O7" s="11"/>
      <c r="P7" s="11"/>
      <c r="Q7" s="11"/>
      <c r="R7" s="11"/>
      <c r="S7" s="11"/>
    </row>
    <row r="8" spans="1:19" x14ac:dyDescent="0.25">
      <c r="A8" s="7" t="s">
        <v>166</v>
      </c>
      <c r="D8" t="s">
        <v>30</v>
      </c>
      <c r="E8">
        <v>0</v>
      </c>
      <c r="F8">
        <v>1.5</v>
      </c>
      <c r="G8">
        <v>5</v>
      </c>
      <c r="H8">
        <v>3.24</v>
      </c>
      <c r="I8">
        <v>0</v>
      </c>
      <c r="J8">
        <v>0</v>
      </c>
      <c r="N8" s="11"/>
      <c r="O8" s="11"/>
      <c r="P8" s="11"/>
      <c r="Q8" s="11"/>
      <c r="R8" s="11"/>
      <c r="S8" s="11"/>
    </row>
    <row r="9" spans="1:19" x14ac:dyDescent="0.25">
      <c r="A9" s="7" t="s">
        <v>166</v>
      </c>
      <c r="D9" t="s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 s="11"/>
      <c r="O9" s="11"/>
      <c r="P9" s="11"/>
      <c r="Q9" s="11"/>
      <c r="R9" s="11"/>
      <c r="S9" s="11"/>
    </row>
    <row r="10" spans="1:19" x14ac:dyDescent="0.25">
      <c r="A10" s="7" t="s">
        <v>167</v>
      </c>
      <c r="D10" t="s">
        <v>30</v>
      </c>
      <c r="E10">
        <v>10</v>
      </c>
      <c r="F10">
        <v>10</v>
      </c>
      <c r="G10">
        <v>5</v>
      </c>
      <c r="H10">
        <v>5</v>
      </c>
      <c r="I10">
        <v>10</v>
      </c>
      <c r="J10">
        <v>3</v>
      </c>
      <c r="N10" s="11"/>
      <c r="O10" s="11"/>
      <c r="P10" s="11"/>
      <c r="Q10" s="11"/>
      <c r="R10" s="11"/>
      <c r="S10" s="11"/>
    </row>
    <row r="11" spans="1:19" x14ac:dyDescent="0.25">
      <c r="A11" s="7" t="s">
        <v>167</v>
      </c>
      <c r="D11" t="s">
        <v>31</v>
      </c>
      <c r="E11">
        <v>5</v>
      </c>
      <c r="F11">
        <v>5</v>
      </c>
      <c r="G11">
        <v>5</v>
      </c>
      <c r="H11">
        <v>5</v>
      </c>
      <c r="I11">
        <v>5</v>
      </c>
      <c r="J11">
        <v>4.78</v>
      </c>
      <c r="N11" s="11"/>
      <c r="O11" s="11"/>
      <c r="P11" s="11"/>
      <c r="Q11" s="11"/>
      <c r="R11" s="11"/>
      <c r="S11" s="11"/>
    </row>
    <row r="12" spans="1:19" x14ac:dyDescent="0.25">
      <c r="A12" s="7" t="s">
        <v>181</v>
      </c>
      <c r="D12" t="s">
        <v>30</v>
      </c>
      <c r="E12">
        <v>5</v>
      </c>
      <c r="F12">
        <v>3.0500000000000003</v>
      </c>
      <c r="G12">
        <v>0</v>
      </c>
      <c r="H12">
        <v>0</v>
      </c>
      <c r="I12">
        <v>0</v>
      </c>
      <c r="J12">
        <v>2</v>
      </c>
      <c r="N12" s="11"/>
      <c r="O12" s="11"/>
      <c r="P12" s="11"/>
      <c r="Q12" s="11"/>
      <c r="R12" s="11"/>
      <c r="S12" s="11"/>
    </row>
    <row r="13" spans="1:19" x14ac:dyDescent="0.25">
      <c r="A13" s="7" t="s">
        <v>181</v>
      </c>
      <c r="D13" t="s">
        <v>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N13" s="11"/>
      <c r="O13" s="11"/>
      <c r="P13" s="11"/>
      <c r="Q13" s="11"/>
      <c r="R13" s="11"/>
      <c r="S13" s="11"/>
    </row>
    <row r="14" spans="1:19" x14ac:dyDescent="0.25">
      <c r="A14" s="7" t="s">
        <v>182</v>
      </c>
      <c r="D14" t="s">
        <v>30</v>
      </c>
      <c r="E14">
        <v>4.5</v>
      </c>
      <c r="F14">
        <v>3</v>
      </c>
      <c r="G14">
        <v>5</v>
      </c>
      <c r="H14">
        <v>10</v>
      </c>
      <c r="I14">
        <v>10</v>
      </c>
      <c r="J14">
        <v>5</v>
      </c>
      <c r="N14" s="11"/>
      <c r="O14" s="11"/>
      <c r="P14" s="11"/>
      <c r="Q14" s="11"/>
      <c r="R14" s="11"/>
      <c r="S14" s="11"/>
    </row>
    <row r="15" spans="1:19" x14ac:dyDescent="0.25">
      <c r="A15" s="7" t="s">
        <v>182</v>
      </c>
      <c r="D15" t="s">
        <v>31</v>
      </c>
      <c r="E15">
        <v>4</v>
      </c>
      <c r="F15">
        <v>5</v>
      </c>
      <c r="G15">
        <v>5</v>
      </c>
      <c r="H15">
        <v>5</v>
      </c>
      <c r="I15">
        <v>5</v>
      </c>
      <c r="J15">
        <v>2.3199999999999998</v>
      </c>
      <c r="N15" s="11"/>
      <c r="O15" s="11"/>
      <c r="P15" s="11"/>
      <c r="Q15" s="11"/>
      <c r="R15" s="11"/>
      <c r="S15" s="11"/>
    </row>
    <row r="16" spans="1:19" x14ac:dyDescent="0.25">
      <c r="N16" s="11"/>
      <c r="O16" s="11"/>
      <c r="P16" s="11"/>
      <c r="Q16" s="11"/>
      <c r="R16" s="11"/>
      <c r="S16" s="11"/>
    </row>
    <row r="17" spans="14:19" x14ac:dyDescent="0.25">
      <c r="N17" s="11"/>
      <c r="O17" s="11"/>
      <c r="P17" s="11"/>
      <c r="Q17" s="11"/>
      <c r="R17" s="11"/>
      <c r="S17" s="11"/>
    </row>
    <row r="18" spans="14:19" x14ac:dyDescent="0.25">
      <c r="N18" s="11"/>
      <c r="O18" s="11"/>
      <c r="P18" s="11"/>
      <c r="Q18" s="11"/>
      <c r="R18" s="11"/>
      <c r="S18" s="11"/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C2:D40 N4:S18 E2:E34 F2:J15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3" width="12" customWidth="1"/>
    <col min="4" max="15" width="14" customWidth="1"/>
    <col min="16" max="16" width="29.5703125" bestFit="1" customWidth="1"/>
  </cols>
  <sheetData>
    <row r="1" spans="1:16" ht="30" x14ac:dyDescent="0.25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176</v>
      </c>
      <c r="H1" s="5" t="s">
        <v>174</v>
      </c>
      <c r="I1" s="5" t="s">
        <v>175</v>
      </c>
      <c r="J1" s="5" t="s">
        <v>143</v>
      </c>
      <c r="K1" s="5" t="s">
        <v>144</v>
      </c>
      <c r="L1" s="5" t="s">
        <v>145</v>
      </c>
      <c r="M1" s="5" t="s">
        <v>172</v>
      </c>
      <c r="N1" s="5" t="s">
        <v>173</v>
      </c>
      <c r="O1" s="5" t="s">
        <v>177</v>
      </c>
      <c r="P1" s="5" t="s">
        <v>87</v>
      </c>
    </row>
    <row r="2" spans="1:16" x14ac:dyDescent="0.25">
      <c r="A2" s="2" t="s">
        <v>146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147</v>
      </c>
    </row>
    <row r="3" spans="1:16" x14ac:dyDescent="0.25">
      <c r="A3" s="2" t="s">
        <v>148</v>
      </c>
      <c r="B3" s="2" t="s">
        <v>72</v>
      </c>
      <c r="C3" s="8">
        <v>10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  <c r="P3" s="6" t="s">
        <v>147</v>
      </c>
    </row>
    <row r="4" spans="1:16" x14ac:dyDescent="0.25">
      <c r="A4" s="2" t="s">
        <v>168</v>
      </c>
      <c r="B4" s="2" t="s">
        <v>72</v>
      </c>
      <c r="C4">
        <v>10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25">
      <c r="A5" s="2" t="s">
        <v>184</v>
      </c>
      <c r="B5" s="2" t="s">
        <v>72</v>
      </c>
      <c r="C5">
        <v>10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8">
        <v>6</v>
      </c>
      <c r="K5" s="8">
        <v>2</v>
      </c>
      <c r="L5" s="8">
        <v>1</v>
      </c>
      <c r="M5" s="8">
        <v>6</v>
      </c>
      <c r="N5" s="8">
        <v>2</v>
      </c>
      <c r="O5" s="8">
        <v>1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>
      <selection activeCell="A2" sqref="A2:B5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ht="30" x14ac:dyDescent="0.25">
      <c r="A1" s="5" t="s">
        <v>137</v>
      </c>
      <c r="B1" s="5" t="s">
        <v>138</v>
      </c>
      <c r="C1" s="5" t="s">
        <v>149</v>
      </c>
      <c r="D1" s="5" t="s">
        <v>150</v>
      </c>
      <c r="E1" s="5" t="s">
        <v>151</v>
      </c>
      <c r="F1" s="5" t="s">
        <v>178</v>
      </c>
      <c r="G1" s="5" t="s">
        <v>179</v>
      </c>
      <c r="H1" s="5" t="s">
        <v>180</v>
      </c>
      <c r="I1" s="5" t="s">
        <v>152</v>
      </c>
    </row>
    <row r="2" spans="1:9" ht="30" x14ac:dyDescent="0.25">
      <c r="A2" s="2" t="s">
        <v>146</v>
      </c>
      <c r="B2" s="2" t="s">
        <v>72</v>
      </c>
      <c r="C2" s="6" t="s">
        <v>164</v>
      </c>
      <c r="D2" s="6"/>
      <c r="E2" s="6"/>
      <c r="F2" s="6"/>
      <c r="G2" s="6"/>
      <c r="H2" s="6"/>
      <c r="I2" s="2" t="s">
        <v>153</v>
      </c>
    </row>
    <row r="3" spans="1:9" ht="30" x14ac:dyDescent="0.25">
      <c r="A3" s="2" t="s">
        <v>148</v>
      </c>
      <c r="B3" s="2" t="s">
        <v>72</v>
      </c>
      <c r="C3" s="6" t="s">
        <v>164</v>
      </c>
      <c r="D3" s="6"/>
      <c r="E3" s="6"/>
      <c r="F3" s="6"/>
      <c r="G3" s="6"/>
      <c r="H3" s="6"/>
      <c r="I3" s="2" t="s">
        <v>153</v>
      </c>
    </row>
    <row r="4" spans="1:9" x14ac:dyDescent="0.25">
      <c r="A4" s="2" t="s">
        <v>168</v>
      </c>
      <c r="B4" s="2" t="s">
        <v>72</v>
      </c>
      <c r="C4" s="6" t="s">
        <v>164</v>
      </c>
      <c r="D4" s="6"/>
      <c r="E4" s="6"/>
      <c r="F4" s="6"/>
      <c r="G4" s="6"/>
      <c r="H4" s="6"/>
      <c r="I4" s="2"/>
    </row>
    <row r="5" spans="1:9" x14ac:dyDescent="0.25">
      <c r="A5" s="2" t="s">
        <v>184</v>
      </c>
      <c r="B5" s="2" t="s">
        <v>72</v>
      </c>
      <c r="C5" s="6" t="s">
        <v>164</v>
      </c>
      <c r="D5" s="6"/>
      <c r="E5" s="6"/>
      <c r="F5" s="6"/>
      <c r="G5" s="6"/>
      <c r="H5" s="6"/>
      <c r="I5" s="2" t="s">
        <v>154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F6" sqref="F6"/>
    </sheetView>
  </sheetViews>
  <sheetFormatPr baseColWidth="10" defaultColWidth="9.140625" defaultRowHeight="15" x14ac:dyDescent="0.25"/>
  <cols>
    <col min="1" max="1" width="23" customWidth="1"/>
    <col min="2" max="2" width="6.7109375" bestFit="1" customWidth="1"/>
    <col min="3" max="3" width="30" customWidth="1"/>
    <col min="4" max="4" width="2.28515625" bestFit="1" customWidth="1"/>
  </cols>
  <sheetData>
    <row r="1" spans="1:4" x14ac:dyDescent="0.25">
      <c r="A1" s="5" t="s">
        <v>155</v>
      </c>
      <c r="B1" s="5" t="s">
        <v>164</v>
      </c>
      <c r="C1" s="12" t="s">
        <v>30</v>
      </c>
      <c r="D1" s="12" t="s">
        <v>31</v>
      </c>
    </row>
    <row r="2" spans="1:4" x14ac:dyDescent="0.25">
      <c r="A2" s="3" t="s">
        <v>164</v>
      </c>
      <c r="B2" s="3">
        <v>1</v>
      </c>
      <c r="C2" s="13">
        <v>1</v>
      </c>
      <c r="D2" s="13">
        <v>1</v>
      </c>
    </row>
    <row r="3" spans="1:4" x14ac:dyDescent="0.25">
      <c r="A3" s="3" t="s">
        <v>30</v>
      </c>
      <c r="B3" s="3">
        <v>0</v>
      </c>
      <c r="C3" s="13">
        <v>1</v>
      </c>
      <c r="D3" s="13">
        <v>1</v>
      </c>
    </row>
    <row r="4" spans="1:4" x14ac:dyDescent="0.25">
      <c r="A4" s="3" t="s">
        <v>31</v>
      </c>
      <c r="B4" s="3">
        <v>0</v>
      </c>
      <c r="C4" s="13">
        <v>1</v>
      </c>
      <c r="D4" s="13">
        <v>1</v>
      </c>
    </row>
    <row r="5" spans="1:4" x14ac:dyDescent="0.25">
      <c r="A5" s="2"/>
      <c r="B5" s="2"/>
      <c r="C5" s="2"/>
      <c r="D5" s="2"/>
    </row>
    <row r="6" spans="1:4" ht="45" x14ac:dyDescent="0.25">
      <c r="A6" s="3" t="s">
        <v>156</v>
      </c>
      <c r="B6" s="3"/>
      <c r="C6" s="2" t="s">
        <v>157</v>
      </c>
      <c r="D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selection activeCell="B19" sqref="B19"/>
    </sheetView>
  </sheetViews>
  <sheetFormatPr baseColWidth="10" defaultColWidth="9.140625" defaultRowHeight="15" x14ac:dyDescent="0.25"/>
  <cols>
    <col min="1" max="3" width="16" customWidth="1"/>
    <col min="4" max="4" width="11" customWidth="1"/>
    <col min="5" max="5" width="16" customWidth="1"/>
  </cols>
  <sheetData>
    <row r="1" spans="1:5" ht="30" x14ac:dyDescent="0.25">
      <c r="A1" s="5" t="s">
        <v>158</v>
      </c>
      <c r="B1" s="5" t="s">
        <v>121</v>
      </c>
      <c r="C1" s="5" t="s">
        <v>122</v>
      </c>
      <c r="D1" s="5" t="s">
        <v>159</v>
      </c>
      <c r="E1" s="5" t="s">
        <v>123</v>
      </c>
    </row>
    <row r="2" spans="1:5" x14ac:dyDescent="0.25">
      <c r="A2" s="7" t="s">
        <v>160</v>
      </c>
      <c r="B2" s="7">
        <f>Params!B15</f>
        <v>50</v>
      </c>
      <c r="C2" s="7">
        <f>Params!B16</f>
        <v>50</v>
      </c>
      <c r="D2" s="9" t="s">
        <v>161</v>
      </c>
      <c r="E2" s="7" t="s">
        <v>1</v>
      </c>
    </row>
    <row r="3" spans="1:5" x14ac:dyDescent="0.25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162</v>
      </c>
      <c r="E3" s="7" t="str">
        <f>Suppliers!D2</f>
        <v>EV</v>
      </c>
    </row>
    <row r="4" spans="1:5" x14ac:dyDescent="0.25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162</v>
      </c>
      <c r="E4" s="7" t="str">
        <f>Suppliers!D3</f>
        <v>V</v>
      </c>
    </row>
    <row r="5" spans="1:5" x14ac:dyDescent="0.25">
      <c r="A5" s="7" t="str">
        <f>Suppliers!A4</f>
        <v>S02</v>
      </c>
      <c r="B5" s="7">
        <f>Suppliers!B4</f>
        <v>28</v>
      </c>
      <c r="C5" s="7">
        <f>Suppliers!C4</f>
        <v>68</v>
      </c>
      <c r="D5" s="9" t="s">
        <v>162</v>
      </c>
      <c r="E5" s="7" t="str">
        <f>Suppliers!D4</f>
        <v>EV</v>
      </c>
    </row>
    <row r="6" spans="1:5" x14ac:dyDescent="0.25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162</v>
      </c>
      <c r="E6" s="7" t="str">
        <f>Suppliers!D5</f>
        <v>V</v>
      </c>
    </row>
    <row r="7" spans="1:5" x14ac:dyDescent="0.25">
      <c r="A7" s="7" t="s">
        <v>165</v>
      </c>
      <c r="E7" t="s">
        <v>30</v>
      </c>
    </row>
    <row r="8" spans="1:5" x14ac:dyDescent="0.25">
      <c r="A8" s="7" t="s">
        <v>165</v>
      </c>
      <c r="E8" t="s">
        <v>31</v>
      </c>
    </row>
    <row r="9" spans="1:5" x14ac:dyDescent="0.25">
      <c r="A9" s="7" t="s">
        <v>166</v>
      </c>
      <c r="E9" t="s">
        <v>30</v>
      </c>
    </row>
    <row r="10" spans="1:5" x14ac:dyDescent="0.25">
      <c r="A10" s="7" t="s">
        <v>166</v>
      </c>
      <c r="E10" t="s">
        <v>31</v>
      </c>
    </row>
    <row r="11" spans="1:5" x14ac:dyDescent="0.25">
      <c r="A11" s="7" t="s">
        <v>167</v>
      </c>
      <c r="E11" t="s">
        <v>30</v>
      </c>
    </row>
    <row r="12" spans="1:5" x14ac:dyDescent="0.25">
      <c r="A12" s="7" t="s">
        <v>167</v>
      </c>
      <c r="E12" t="s">
        <v>31</v>
      </c>
    </row>
    <row r="13" spans="1:5" x14ac:dyDescent="0.25">
      <c r="A13" s="7" t="s">
        <v>181</v>
      </c>
      <c r="E13" t="s">
        <v>30</v>
      </c>
    </row>
    <row r="14" spans="1:5" x14ac:dyDescent="0.25">
      <c r="A14" s="7" t="s">
        <v>181</v>
      </c>
      <c r="E14" t="s">
        <v>31</v>
      </c>
    </row>
    <row r="15" spans="1:5" x14ac:dyDescent="0.25">
      <c r="A15" s="7" t="s">
        <v>182</v>
      </c>
      <c r="E15" t="s">
        <v>30</v>
      </c>
    </row>
    <row r="16" spans="1:5" x14ac:dyDescent="0.25">
      <c r="A16" s="7" t="s">
        <v>182</v>
      </c>
      <c r="E16" t="s">
        <v>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>
      <selection activeCell="B2" sqref="B2:I9"/>
    </sheetView>
  </sheetViews>
  <sheetFormatPr baseColWidth="10" defaultColWidth="9.140625" defaultRowHeight="15" x14ac:dyDescent="0.25"/>
  <cols>
    <col min="1" max="1" width="12" customWidth="1"/>
    <col min="2" max="4" width="30" customWidth="1"/>
  </cols>
  <sheetData>
    <row r="1" spans="1:9" x14ac:dyDescent="0.25">
      <c r="A1" s="5" t="s">
        <v>163</v>
      </c>
      <c r="B1" s="5" t="str">
        <f>Nodes!A2</f>
        <v>D0</v>
      </c>
      <c r="C1" s="5" t="str">
        <f>Nodes!A3</f>
        <v>S01</v>
      </c>
      <c r="D1" s="5" t="str">
        <f>Nodes!A5</f>
        <v>S02</v>
      </c>
      <c r="E1" t="s">
        <v>165</v>
      </c>
      <c r="F1" t="s">
        <v>166</v>
      </c>
      <c r="G1" t="s">
        <v>167</v>
      </c>
      <c r="H1" t="s">
        <v>181</v>
      </c>
      <c r="I1" t="s">
        <v>182</v>
      </c>
    </row>
    <row r="2" spans="1:9" x14ac:dyDescent="0.25">
      <c r="A2" s="3" t="str">
        <f>Nodes!A2</f>
        <v>D0</v>
      </c>
      <c r="B2" s="10">
        <v>0</v>
      </c>
      <c r="C2" s="10">
        <v>175</v>
      </c>
      <c r="D2" s="10">
        <v>171</v>
      </c>
      <c r="E2">
        <v>175</v>
      </c>
      <c r="F2">
        <v>133</v>
      </c>
      <c r="G2">
        <v>12</v>
      </c>
      <c r="H2">
        <v>21</v>
      </c>
      <c r="I2">
        <v>13</v>
      </c>
    </row>
    <row r="3" spans="1:9" x14ac:dyDescent="0.25">
      <c r="A3" s="3" t="str">
        <f>Nodes!A3</f>
        <v>S01</v>
      </c>
      <c r="B3" s="10">
        <v>175</v>
      </c>
      <c r="C3" s="10">
        <v>0</v>
      </c>
      <c r="D3" s="10">
        <v>70</v>
      </c>
      <c r="E3">
        <v>49</v>
      </c>
      <c r="F3">
        <v>100</v>
      </c>
      <c r="G3">
        <v>169</v>
      </c>
      <c r="H3">
        <v>177</v>
      </c>
      <c r="I3">
        <v>163</v>
      </c>
    </row>
    <row r="4" spans="1:9" x14ac:dyDescent="0.25">
      <c r="A4" s="3" t="str">
        <f>Nodes!A5</f>
        <v>S02</v>
      </c>
      <c r="B4" s="10">
        <v>171</v>
      </c>
      <c r="C4" s="10">
        <v>70</v>
      </c>
      <c r="D4" s="10">
        <v>0</v>
      </c>
      <c r="E4">
        <v>22</v>
      </c>
      <c r="F4">
        <v>40</v>
      </c>
      <c r="G4">
        <v>165</v>
      </c>
      <c r="H4">
        <v>173</v>
      </c>
      <c r="I4">
        <v>166</v>
      </c>
    </row>
    <row r="5" spans="1:9" x14ac:dyDescent="0.25">
      <c r="A5" s="3" t="s">
        <v>165</v>
      </c>
      <c r="B5">
        <v>175</v>
      </c>
      <c r="C5">
        <v>49</v>
      </c>
      <c r="D5">
        <v>22</v>
      </c>
      <c r="E5">
        <v>0</v>
      </c>
      <c r="F5">
        <v>52</v>
      </c>
      <c r="G5">
        <v>172</v>
      </c>
      <c r="H5">
        <v>195</v>
      </c>
      <c r="I5">
        <v>181</v>
      </c>
    </row>
    <row r="6" spans="1:9" x14ac:dyDescent="0.25">
      <c r="A6" s="3" t="s">
        <v>166</v>
      </c>
      <c r="B6">
        <v>133</v>
      </c>
      <c r="C6">
        <v>100</v>
      </c>
      <c r="D6">
        <v>40</v>
      </c>
      <c r="E6">
        <v>52</v>
      </c>
      <c r="F6">
        <v>0</v>
      </c>
      <c r="G6">
        <v>141</v>
      </c>
      <c r="H6">
        <v>144</v>
      </c>
      <c r="I6">
        <v>130</v>
      </c>
    </row>
    <row r="7" spans="1:9" x14ac:dyDescent="0.25">
      <c r="A7" t="s">
        <v>167</v>
      </c>
      <c r="B7">
        <v>12</v>
      </c>
      <c r="C7">
        <v>169</v>
      </c>
      <c r="D7">
        <v>165</v>
      </c>
      <c r="E7">
        <v>172</v>
      </c>
      <c r="F7">
        <v>141</v>
      </c>
      <c r="G7">
        <v>0</v>
      </c>
      <c r="H7">
        <v>24</v>
      </c>
      <c r="I7">
        <v>13</v>
      </c>
    </row>
    <row r="8" spans="1:9" x14ac:dyDescent="0.25">
      <c r="A8" s="3" t="s">
        <v>181</v>
      </c>
      <c r="B8">
        <v>21</v>
      </c>
      <c r="C8">
        <v>177</v>
      </c>
      <c r="D8">
        <v>173</v>
      </c>
      <c r="E8">
        <v>195</v>
      </c>
      <c r="F8">
        <v>144</v>
      </c>
      <c r="G8">
        <v>24</v>
      </c>
      <c r="H8">
        <v>0</v>
      </c>
      <c r="I8">
        <v>16</v>
      </c>
    </row>
    <row r="9" spans="1:9" x14ac:dyDescent="0.25">
      <c r="A9" s="3" t="s">
        <v>182</v>
      </c>
      <c r="B9">
        <v>13</v>
      </c>
      <c r="C9">
        <v>163</v>
      </c>
      <c r="D9">
        <v>166</v>
      </c>
      <c r="E9">
        <v>181</v>
      </c>
      <c r="F9">
        <v>130</v>
      </c>
      <c r="G9">
        <v>13</v>
      </c>
      <c r="H9">
        <v>16</v>
      </c>
      <c r="I9">
        <v>0</v>
      </c>
    </row>
    <row r="13" spans="1:9" x14ac:dyDescent="0.25">
      <c r="B13" s="16"/>
      <c r="C13" s="16"/>
      <c r="D13" s="16"/>
      <c r="E13" s="16"/>
      <c r="F13" s="16"/>
      <c r="G13" s="16"/>
      <c r="H13" s="16"/>
      <c r="I13" s="16"/>
    </row>
    <row r="14" spans="1:9" x14ac:dyDescent="0.25">
      <c r="B14" s="16"/>
      <c r="C14" s="16"/>
      <c r="D14" s="16"/>
      <c r="E14" s="16"/>
      <c r="F14" s="16"/>
      <c r="G14" s="16"/>
      <c r="H14" s="16"/>
      <c r="I14" s="16"/>
    </row>
    <row r="15" spans="1:9" x14ac:dyDescent="0.25">
      <c r="B15" s="16"/>
      <c r="C15" s="16"/>
      <c r="D15" s="16"/>
      <c r="E15" s="16"/>
      <c r="F15" s="16"/>
      <c r="G15" s="16"/>
      <c r="H15" s="16"/>
      <c r="I15" s="16"/>
    </row>
    <row r="16" spans="1:9" x14ac:dyDescent="0.25">
      <c r="B16" s="16"/>
      <c r="C16" s="16"/>
      <c r="D16" s="16"/>
      <c r="E16" s="16"/>
      <c r="F16" s="16"/>
      <c r="G16" s="16"/>
      <c r="H16" s="16"/>
      <c r="I16" s="16"/>
    </row>
    <row r="17" spans="2:9" x14ac:dyDescent="0.25">
      <c r="B17" s="16"/>
      <c r="C17" s="16"/>
      <c r="D17" s="16"/>
      <c r="E17" s="16"/>
      <c r="F17" s="16"/>
      <c r="G17" s="16"/>
      <c r="H17" s="16"/>
      <c r="I17" s="16"/>
    </row>
    <row r="18" spans="2:9" x14ac:dyDescent="0.25">
      <c r="B18" s="16"/>
      <c r="C18" s="16"/>
      <c r="D18" s="16"/>
      <c r="E18" s="16"/>
      <c r="F18" s="16"/>
      <c r="G18" s="16"/>
      <c r="H18" s="16"/>
      <c r="I18" s="16"/>
    </row>
    <row r="19" spans="2:9" x14ac:dyDescent="0.25">
      <c r="B19" s="16"/>
      <c r="C19" s="16"/>
      <c r="D19" s="16"/>
      <c r="E19" s="16"/>
      <c r="F19" s="16"/>
      <c r="G19" s="16"/>
      <c r="H19" s="16"/>
      <c r="I19" s="16"/>
    </row>
    <row r="20" spans="2:9" x14ac:dyDescent="0.25">
      <c r="B20" s="16"/>
      <c r="C20" s="16"/>
      <c r="D20" s="16"/>
      <c r="E20" s="16"/>
      <c r="F20" s="16"/>
      <c r="G20" s="16"/>
      <c r="H20" s="16"/>
      <c r="I20" s="16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Ghodbeni</cp:lastModifiedBy>
  <dcterms:created xsi:type="dcterms:W3CDTF">2026-04-18T16:24:21Z</dcterms:created>
  <dcterms:modified xsi:type="dcterms:W3CDTF">2026-05-03T20:47:05Z</dcterms:modified>
</cp:coreProperties>
</file>