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MPMCMT_VRP22072026\Ecxel_instances\"/>
    </mc:Choice>
  </mc:AlternateContent>
  <xr:revisionPtr revIDLastSave="0" documentId="13_ncr:1_{FDE964EF-7413-4DE8-BAA8-709C16FCC878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README" sheetId="1" r:id="rId1"/>
    <sheet name="Controls" sheetId="2" r:id="rId2"/>
    <sheet name="Instance_Catalog" sheetId="3" r:id="rId3"/>
    <sheet name="Params" sheetId="4" r:id="rId4"/>
    <sheet name="Feuil2" sheetId="12" r:id="rId5"/>
    <sheet name="Suppliers" sheetId="5" r:id="rId6"/>
    <sheet name="Fleet" sheetId="6" r:id="rId7"/>
    <sheet name="Initial_States" sheetId="7" r:id="rId8"/>
    <sheet name="Incompatibility" sheetId="8" r:id="rId9"/>
    <sheet name="Nodes" sheetId="9" r:id="rId10"/>
    <sheet name="Distances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9" l="1"/>
  <c r="C8" i="9"/>
  <c r="B8" i="9"/>
  <c r="E8" i="9"/>
  <c r="E7" i="9"/>
  <c r="E6" i="9"/>
  <c r="A2" i="10"/>
  <c r="B1" i="10"/>
  <c r="C7" i="9"/>
  <c r="B7" i="9"/>
  <c r="A7" i="9"/>
  <c r="C6" i="9"/>
  <c r="B6" i="9"/>
  <c r="A6" i="9"/>
  <c r="D1" i="10" s="1"/>
  <c r="E5" i="9"/>
  <c r="C5" i="9"/>
  <c r="B5" i="9"/>
  <c r="A5" i="9"/>
  <c r="E4" i="9"/>
  <c r="C4" i="9"/>
  <c r="B4" i="9"/>
  <c r="A4" i="9"/>
  <c r="E3" i="9"/>
  <c r="C3" i="9"/>
  <c r="B3" i="9"/>
  <c r="A3" i="9"/>
  <c r="C1" i="10" s="1"/>
  <c r="C2" i="9"/>
  <c r="B2" i="9"/>
  <c r="B28" i="4"/>
  <c r="B27" i="4"/>
  <c r="B26" i="4"/>
  <c r="B25" i="4"/>
  <c r="B24" i="4"/>
  <c r="B23" i="4"/>
  <c r="B22" i="4"/>
  <c r="B14" i="4"/>
  <c r="B13" i="4"/>
  <c r="B12" i="4"/>
  <c r="B11" i="4"/>
  <c r="B10" i="4"/>
  <c r="B9" i="4"/>
  <c r="B8" i="4"/>
  <c r="B4" i="4"/>
  <c r="B3" i="4"/>
  <c r="B31" i="4" l="1"/>
  <c r="B29" i="4"/>
  <c r="B30" i="4"/>
  <c r="A3" i="10"/>
  <c r="A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Quality code per supplier. Use one of EV, V, O, 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J1" authorId="0" shapeId="0" xr:uid="{1559A47A-342E-49C9-B383-3E09601924B9}">
      <text>
        <r>
          <rPr>
            <sz val="11"/>
            <color theme="1"/>
            <rFont val="Calibri"/>
            <family val="2"/>
            <scheme val="minor"/>
          </rPr>
          <t>Period-specific cleaning cost transmitted from MP layer to MT-MC layer.</t>
        </r>
      </text>
    </comment>
    <comment ref="M1" authorId="0" shapeId="0" xr:uid="{6CCAE25E-ACBC-467A-92E4-A8025DAD6F0A}">
      <text>
        <r>
          <rPr>
            <sz val="11"/>
            <color theme="1"/>
            <rFont val="Calibri"/>
            <family val="2"/>
            <scheme val="minor"/>
          </rPr>
          <t>Period-specific cleaning cost transmitted from MP layer to MT-MC layer.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Initial quality occupying compartment at start of each period.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Euclidean distances derived from Nodes sheet formulas.</t>
        </r>
      </text>
    </comment>
  </commentList>
</comments>
</file>

<file path=xl/sharedStrings.xml><?xml version="1.0" encoding="utf-8"?>
<sst xmlns="http://schemas.openxmlformats.org/spreadsheetml/2006/main" count="392" uniqueCount="182">
  <si>
    <t>MPMTMC-VRP Excel Template</t>
  </si>
  <si>
    <t/>
  </si>
  <si>
    <t>Purpose</t>
  </si>
  <si>
    <t>Starter workbook for a hierarchical multi-period, multi-tour, multi-compartment VRP with asymmetric product compatibility and inherited compartment states.</t>
  </si>
  <si>
    <t>Primary sample</t>
  </si>
  <si>
    <t>Instance C3 (hierarchical conflict / unfavorable inherited states)</t>
  </si>
  <si>
    <t>Expected code-facing sheets</t>
  </si>
  <si>
    <t>Params, Suppliers, Fleet, Initial_States, Incompatibility, Nodes, Distances</t>
  </si>
  <si>
    <t>Sheet usage</t>
  </si>
  <si>
    <t>Params</t>
  </si>
  <si>
    <t>Global controls, selected instance metadata, cost assumptions, and formula-based summary checks.</t>
  </si>
  <si>
    <t>Suppliers</t>
  </si>
  <si>
    <t>Supplier coordinates, assigned quality, and period demands. Edit blue cells only.</t>
  </si>
  <si>
    <t>Fleet</t>
  </si>
  <si>
    <t>Vehicle/compartment capacities, period availability, and period-specific cleaning costs. Edit blue cells only.</t>
  </si>
  <si>
    <t>Initial_States</t>
  </si>
  <si>
    <t>Initial quality state of each compartment at the start of each period.</t>
  </si>
  <si>
    <t>Incompatibility</t>
  </si>
  <si>
    <t>Asymmetric compatibility matrix Γ(q,q'). 1 = compatible without cleaning, 0 = incompatible unless cleaned.</t>
  </si>
  <si>
    <t>Nodes</t>
  </si>
  <si>
    <t>Derived node list (depot + suppliers) feeding the distance matrix.</t>
  </si>
  <si>
    <t>Distances</t>
  </si>
  <si>
    <t>Formula-driven Euclidean distance matrix. Recalculates when coordinates change.</t>
  </si>
  <si>
    <t>Quality convention</t>
  </si>
  <si>
    <t>Ordered qualities: EV &gt; V &gt; O &gt; L. Downward transitions are compatible; upward transitions require cleaning.</t>
  </si>
  <si>
    <t>Implementation note</t>
  </si>
  <si>
    <t>The workbook is organized so you can read Suppliers/Fleet/Initial_States as direct inputs and Distances as a derived matrix.</t>
  </si>
  <si>
    <t>Editing guidance</t>
  </si>
  <si>
    <t>If you expand beyond 16 suppliers, extend formulas in Nodes and Distances accordingly.</t>
  </si>
  <si>
    <t>Quality_List</t>
  </si>
  <si>
    <t>EV</t>
  </si>
  <si>
    <t>V</t>
  </si>
  <si>
    <t>O</t>
  </si>
  <si>
    <t>L</t>
  </si>
  <si>
    <t>Cleaning_Level</t>
  </si>
  <si>
    <t>Low</t>
  </si>
  <si>
    <t>Medium</t>
  </si>
  <si>
    <t>High</t>
  </si>
  <si>
    <t>Instance_ID</t>
  </si>
  <si>
    <t>Family</t>
  </si>
  <si>
    <t>Num_Suppliers</t>
  </si>
  <si>
    <t>Num_Periods</t>
  </si>
  <si>
    <t>Num_Vehicles</t>
  </si>
  <si>
    <t>Compartments_per_vehicle</t>
  </si>
  <si>
    <t>Capacity_per_compartment_t</t>
  </si>
  <si>
    <t>Spatial_mixing_level</t>
  </si>
  <si>
    <t>Cleaning_cost_level</t>
  </si>
  <si>
    <t>Initial_state_condition</t>
  </si>
  <si>
    <t>Dominant_quality_pattern</t>
  </si>
  <si>
    <t>Experimental_goal</t>
  </si>
  <si>
    <t>A1</t>
  </si>
  <si>
    <t>Monotone</t>
  </si>
  <si>
    <t>Neutral</t>
  </si>
  <si>
    <t>Separated by quality</t>
  </si>
  <si>
    <t>Baseline no-wash</t>
  </si>
  <si>
    <t>A2</t>
  </si>
  <si>
    <t>Cost sensitivity</t>
  </si>
  <si>
    <t>A3</t>
  </si>
  <si>
    <t>Favorable</t>
  </si>
  <si>
    <t>MP neutralizes MT</t>
  </si>
  <si>
    <t>A4</t>
  </si>
  <si>
    <t>Confirm no washing</t>
  </si>
  <si>
    <t>B1</t>
  </si>
  <si>
    <t>Operational conflict</t>
  </si>
  <si>
    <t>Mixed spatial</t>
  </si>
  <si>
    <t>Force washing</t>
  </si>
  <si>
    <t>B2</t>
  </si>
  <si>
    <t>Trade-off distance vs washing</t>
  </si>
  <si>
    <t>B3</t>
  </si>
  <si>
    <t>Avoid washing</t>
  </si>
  <si>
    <t>B4</t>
  </si>
  <si>
    <t>Compare structures</t>
  </si>
  <si>
    <t>C1</t>
  </si>
  <si>
    <t>Hierarchical conflict</t>
  </si>
  <si>
    <t>Low-&gt;High quality shift</t>
  </si>
  <si>
    <t>MP weak influence</t>
  </si>
  <si>
    <t>C2</t>
  </si>
  <si>
    <t>MP induces structure</t>
  </si>
  <si>
    <t>C3</t>
  </si>
  <si>
    <t>Unfavorable</t>
  </si>
  <si>
    <t>State inheritance impact</t>
  </si>
  <si>
    <t>C4</t>
  </si>
  <si>
    <t>Very unfavorable</t>
  </si>
  <si>
    <t>Strong MP-MT coupling</t>
  </si>
  <si>
    <t>Parameter</t>
  </si>
  <si>
    <t>Value</t>
  </si>
  <si>
    <t>Type</t>
  </si>
  <si>
    <t>Notes</t>
  </si>
  <si>
    <t>Selected_Instance</t>
  </si>
  <si>
    <t>Input</t>
  </si>
  <si>
    <t>Choose the scenario to replicate in the generic sheets</t>
  </si>
  <si>
    <t>Derived</t>
  </si>
  <si>
    <t>From Instance_Catalog</t>
  </si>
  <si>
    <t>Depot_X</t>
  </si>
  <si>
    <t>Depot x-coordinate</t>
  </si>
  <si>
    <t>Depot_Y</t>
  </si>
  <si>
    <t>Depot y-coordinate</t>
  </si>
  <si>
    <t>Max_Tours_per_vehicle_per_period</t>
  </si>
  <si>
    <t>Operational limit</t>
  </si>
  <si>
    <t>Cost_per_km</t>
  </si>
  <si>
    <t>Routing coefficient</t>
  </si>
  <si>
    <t>Sample_Instance_Description</t>
  </si>
  <si>
    <t>C3 = state inheritance impact with unfavorable inherited states and low-to-high quality shift</t>
  </si>
  <si>
    <t>Static</t>
  </si>
  <si>
    <t>Narrative control</t>
  </si>
  <si>
    <t>Summary_Checks</t>
  </si>
  <si>
    <t>Total_Supplier_Demand_P1_t</t>
  </si>
  <si>
    <t>Tons</t>
  </si>
  <si>
    <t>Total_Supplier_Demand_P2_t</t>
  </si>
  <si>
    <t>Total_Supplier_Demand_P3_t</t>
  </si>
  <si>
    <t>Active_Compartments</t>
  </si>
  <si>
    <t>Compartment-period availability count</t>
  </si>
  <si>
    <t>Total_Period_Capacity_P1_t</t>
  </si>
  <si>
    <t>Capacity × max tours</t>
  </si>
  <si>
    <t>Total_Period_Capacity_P2_t</t>
  </si>
  <si>
    <t>Total_Period_Capacity_P3_t</t>
  </si>
  <si>
    <t>Demand_Capacity_Ratio_P1</t>
  </si>
  <si>
    <t>Check feasibility pressure</t>
  </si>
  <si>
    <t>Demand_Capacity_Ratio_P2</t>
  </si>
  <si>
    <t>Demand_Capacity_Ratio_P3</t>
  </si>
  <si>
    <t>Supplier_ID</t>
  </si>
  <si>
    <t>X</t>
  </si>
  <si>
    <t>Y</t>
  </si>
  <si>
    <t>Quality</t>
  </si>
  <si>
    <t>P1_Demand_t</t>
  </si>
  <si>
    <t>P2_Demand_t</t>
  </si>
  <si>
    <t>P3_Demand_t</t>
  </si>
  <si>
    <t>Cluster</t>
  </si>
  <si>
    <t>S01</t>
  </si>
  <si>
    <t>S02</t>
  </si>
  <si>
    <t>Vehicle_ID</t>
  </si>
  <si>
    <t>Compartment_ID</t>
  </si>
  <si>
    <t>Capacity_t</t>
  </si>
  <si>
    <t>P1_Available</t>
  </si>
  <si>
    <t>P2_Available</t>
  </si>
  <si>
    <t>P3_Available</t>
  </si>
  <si>
    <t>CleanCost_P1</t>
  </si>
  <si>
    <t>CleanCost_P2</t>
  </si>
  <si>
    <t>CleanCost_P3</t>
  </si>
  <si>
    <t>V1</t>
  </si>
  <si>
    <t>Base case medium cleaning cost</t>
  </si>
  <si>
    <t>V2</t>
  </si>
  <si>
    <t>P1_Init_Quality</t>
  </si>
  <si>
    <t>P2_Init_Quality</t>
  </si>
  <si>
    <t>P3_Init_Quality</t>
  </si>
  <si>
    <t>Scenario_Role</t>
  </si>
  <si>
    <t>Unfavorable before premium-heavy P2</t>
  </si>
  <si>
    <t>Mixed inherited state</t>
  </si>
  <si>
    <t>Γ(q,q') previous→next</t>
  </si>
  <si>
    <t>Interpretation</t>
  </si>
  <si>
    <t>1 = compatible without cleaning; 0 = incompatible unless cleaned</t>
  </si>
  <si>
    <t>Node_ID</t>
  </si>
  <si>
    <t>Node_Type</t>
  </si>
  <si>
    <t>D0</t>
  </si>
  <si>
    <t>Depot</t>
  </si>
  <si>
    <t>Supplier</t>
  </si>
  <si>
    <t>From\To</t>
  </si>
  <si>
    <t>CLEAN</t>
  </si>
  <si>
    <t>S03</t>
  </si>
  <si>
    <t>S04</t>
  </si>
  <si>
    <t>S05</t>
  </si>
  <si>
    <t>V3</t>
  </si>
  <si>
    <t>P4_Demand_t</t>
  </si>
  <si>
    <t>P5_Demand_t</t>
  </si>
  <si>
    <t>P6_Demand_t</t>
  </si>
  <si>
    <t>CleanCost_P4</t>
  </si>
  <si>
    <t>CleanCost_P5</t>
  </si>
  <si>
    <t>P5_Available</t>
  </si>
  <si>
    <t>P6_Available</t>
  </si>
  <si>
    <t>P4_Available</t>
  </si>
  <si>
    <t>CleanCost_P6</t>
  </si>
  <si>
    <t>P4_Init_Quality</t>
  </si>
  <si>
    <t>P5_Init_Quality</t>
  </si>
  <si>
    <t>P6_Init_Quality</t>
  </si>
  <si>
    <t>LoadingTimePerTon</t>
  </si>
  <si>
    <t>S06</t>
  </si>
  <si>
    <t xml:space="preserve">T_max_P1    </t>
  </si>
  <si>
    <t xml:space="preserve">T_max_P2    </t>
  </si>
  <si>
    <t xml:space="preserve">T_max_P3    </t>
  </si>
  <si>
    <t xml:space="preserve">T_max_P4    </t>
  </si>
  <si>
    <t xml:space="preserve">T_max_P5    </t>
  </si>
  <si>
    <t xml:space="preserve">T_max_P6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</si>
</sst>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sz val="11"/>
      <color rgb="FF666666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2FF"/>
      </patternFill>
    </fill>
    <fill>
      <patternFill patternType="solid">
        <fgColor rgb="FFE7E6E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164" fontId="4" fillId="4" borderId="0" xfId="0" applyNumberFormat="1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0" fontId="0" fillId="6" borderId="0" xfId="0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1" fontId="5" fillId="0" borderId="0" xfId="0" applyNumberFormat="1" applyFont="1" applyAlignment="1">
      <alignment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b6d9dfbd94164c0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581025</xdr:colOff>
      <xdr:row>25</xdr:row>
      <xdr:rowOff>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07255B72-6BE7-AB0F-6245-BEC64319EC6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32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B0428265-A0E3-AEF6-6565-B1F544AE1E2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32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D609F97-47E3-F478-B56E-ADE5EB5F433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32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1B03882A-5D3F-4963-4C64-077F168DF1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32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1518CB7E-1916-8AD0-F9DB-8C9AA1AC54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32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9DD0C19F-7CD4-C8E8-E14D-EFF18004066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32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E757A33A-6669-85CC-12D8-B479F607F71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32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48A32935-A915-EF87-813F-A171D2A067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32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72D874FF-4CC9-3667-1A4D-8E52403EAC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32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F714C5E1-AC59-D998-4B08-27723A68DD1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32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94FE1259-19C5-1A4E-8E4B-B28C85A5375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32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7C8573CD-AEA2-5691-F52C-CC203EC90D8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32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2BF8DB41-3DC6-60F1-C267-F72E7B4C27E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32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B23EF985-94A9-2F86-3E04-2E58551F783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32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EDCF6F5A-433A-3D4E-464B-2CA5B9A7F1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38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A6940C24-DDAF-A2D8-F1E2-880DC32368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38</xdr:row>
      <xdr:rowOff>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42EC1839-50F9-C442-DCAF-9F7894601C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38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346162BA-88ED-4FD5-F308-45F37A9CC5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38</xdr:row>
      <xdr:rowOff>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B9F72FAD-FD99-78B1-0DEA-DC3D06C488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38</xdr:row>
      <xdr:rowOff>0</xdr:rowOff>
    </xdr:to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9F819C03-9BB8-8A1E-DDB0-CD4F9A1562A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38</xdr:row>
      <xdr:rowOff>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609BFEEB-BCBF-86F7-8E77-63BE7B70812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48</xdr:row>
      <xdr:rowOff>0</xdr:rowOff>
    </xdr:to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107FCD1F-B383-432C-9274-72AF16CA641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66E84B22-16DC-4380-B6C1-204F7EA02DC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6EFCC617-E0F6-474C-8691-18E805AC2FB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71562ADE-D428-42C3-8D72-A2AF1C266F3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568DE461-4B61-458C-A556-70D857060A8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2052E460-7BA5-4065-ADBD-32108BB1B80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6837952D-9598-4A43-9978-CB75A1CDA7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5BDAEA54-2CE9-4349-A27A-AE2F0B9268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7A5F5455-BBE8-45BA-8256-AD1F46B9B5F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301EC896-3D34-49AC-83A4-3C3CDD1D7EC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84494B2C-C61C-402F-B3A1-87A63B57A66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F1E9EA1E-B84E-4102-94B8-782247452D3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5B317372-8DAC-41ED-92DC-84576F39B6F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29E43DCB-C5DE-407C-8101-D0231A24E64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35902EB7-6898-4F89-BCED-FB1314FDFB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63766FC9-FAFE-494E-A8E6-C356B3FE4CD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15262B5E-5E67-4A08-AE4C-11B1725C297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59DF799D-8F8D-4D46-87D5-663A49CC229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49C03C69-2FC7-47B3-9738-1F0013DBA89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C909335A-0D6A-4E5E-B61D-0AFAEE7CAA2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8331E9F1-FC95-48AA-AA5F-86C74877C8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AACA48E3-C441-4848-B905-F2E0F9CC7D5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35FF00D2-118B-41A7-ACD9-F0A2DB24DE4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38B65D08-D121-467D-892D-A520CB9788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46" name="AutoShape 2">
          <a:extLst>
            <a:ext uri="{FF2B5EF4-FFF2-40B4-BE49-F238E27FC236}">
              <a16:creationId xmlns:a16="http://schemas.microsoft.com/office/drawing/2014/main" id="{56B9AF1F-8338-4C8B-8AA1-ACE2F8FCD9B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E3849241-153D-4566-AD92-9D8E72A9C3B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D2FA61F7-D864-4A48-9EA3-0D36F580972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id="{48D95B2D-0985-4685-B3E2-310D010A164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50" name="AutoShape 2">
          <a:extLst>
            <a:ext uri="{FF2B5EF4-FFF2-40B4-BE49-F238E27FC236}">
              <a16:creationId xmlns:a16="http://schemas.microsoft.com/office/drawing/2014/main" id="{56F5416D-312D-4154-B536-5B1A5B80F2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17FB1AF4-5A85-4EFE-8273-61EE57F1A7D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52" name="AutoShape 2">
          <a:extLst>
            <a:ext uri="{FF2B5EF4-FFF2-40B4-BE49-F238E27FC236}">
              <a16:creationId xmlns:a16="http://schemas.microsoft.com/office/drawing/2014/main" id="{2CBACDE7-B7F8-4F34-97C7-53C9CE4CBBD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id="{D7CBFB77-7D80-4541-AA7A-594B7170602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54" name="AutoShape 2">
          <a:extLst>
            <a:ext uri="{FF2B5EF4-FFF2-40B4-BE49-F238E27FC236}">
              <a16:creationId xmlns:a16="http://schemas.microsoft.com/office/drawing/2014/main" id="{EEB758F4-A742-4E45-BDD9-D57ECB51534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B9182CAB-185A-4BD4-B8A2-176C05CDB50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56" name="AutoShape 2">
          <a:extLst>
            <a:ext uri="{FF2B5EF4-FFF2-40B4-BE49-F238E27FC236}">
              <a16:creationId xmlns:a16="http://schemas.microsoft.com/office/drawing/2014/main" id="{E0C0BC91-35C4-4E20-BAA4-30274536F75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78795649-0214-4AC7-80EC-192232F263C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58" name="AutoShape 2">
          <a:extLst>
            <a:ext uri="{FF2B5EF4-FFF2-40B4-BE49-F238E27FC236}">
              <a16:creationId xmlns:a16="http://schemas.microsoft.com/office/drawing/2014/main" id="{F9949C1C-010E-4027-AE78-39BCAC5322D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5EC2F0E3-5F55-424E-9162-19C24AD5A20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60" name="AutoShape 2">
          <a:extLst>
            <a:ext uri="{FF2B5EF4-FFF2-40B4-BE49-F238E27FC236}">
              <a16:creationId xmlns:a16="http://schemas.microsoft.com/office/drawing/2014/main" id="{33A33D2B-1952-4848-8A91-FCB328232FB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61" name="AutoShape 2">
          <a:extLst>
            <a:ext uri="{FF2B5EF4-FFF2-40B4-BE49-F238E27FC236}">
              <a16:creationId xmlns:a16="http://schemas.microsoft.com/office/drawing/2014/main" id="{9672A25D-23C4-4C44-805A-BAC91421E2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62" name="AutoShape 2">
          <a:extLst>
            <a:ext uri="{FF2B5EF4-FFF2-40B4-BE49-F238E27FC236}">
              <a16:creationId xmlns:a16="http://schemas.microsoft.com/office/drawing/2014/main" id="{5F640DFF-6DC8-4945-8A10-7277028C61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BAC3D067-6112-4AB4-B457-2F17BF095D5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24" name="AutoShape 2">
          <a:extLst>
            <a:ext uri="{FF2B5EF4-FFF2-40B4-BE49-F238E27FC236}">
              <a16:creationId xmlns:a16="http://schemas.microsoft.com/office/drawing/2014/main" id="{C40AECB3-223D-4E95-A0C4-0DD28A0A42B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25" name="AutoShape 2">
          <a:extLst>
            <a:ext uri="{FF2B5EF4-FFF2-40B4-BE49-F238E27FC236}">
              <a16:creationId xmlns:a16="http://schemas.microsoft.com/office/drawing/2014/main" id="{2D391633-D0EA-495C-98DE-5BF3B895E83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27" name="AutoShape 2">
          <a:extLst>
            <a:ext uri="{FF2B5EF4-FFF2-40B4-BE49-F238E27FC236}">
              <a16:creationId xmlns:a16="http://schemas.microsoft.com/office/drawing/2014/main" id="{3A73D9E5-55B7-4110-A850-1BE1C28D782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28" name="AutoShape 2">
          <a:extLst>
            <a:ext uri="{FF2B5EF4-FFF2-40B4-BE49-F238E27FC236}">
              <a16:creationId xmlns:a16="http://schemas.microsoft.com/office/drawing/2014/main" id="{192E7666-A4E4-4678-AEB3-2145C49D821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29" name="AutoShape 2">
          <a:extLst>
            <a:ext uri="{FF2B5EF4-FFF2-40B4-BE49-F238E27FC236}">
              <a16:creationId xmlns:a16="http://schemas.microsoft.com/office/drawing/2014/main" id="{3EB47D29-A763-4F94-A42A-0D39085E401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30" name="AutoShape 2">
          <a:extLst>
            <a:ext uri="{FF2B5EF4-FFF2-40B4-BE49-F238E27FC236}">
              <a16:creationId xmlns:a16="http://schemas.microsoft.com/office/drawing/2014/main" id="{014CE8A9-6AC8-4707-947F-A355202A119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31" name="AutoShape 2">
          <a:extLst>
            <a:ext uri="{FF2B5EF4-FFF2-40B4-BE49-F238E27FC236}">
              <a16:creationId xmlns:a16="http://schemas.microsoft.com/office/drawing/2014/main" id="{FD5C6950-A6D0-4137-9FC8-CC2EDB21DFE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32" name="AutoShape 2">
          <a:extLst>
            <a:ext uri="{FF2B5EF4-FFF2-40B4-BE49-F238E27FC236}">
              <a16:creationId xmlns:a16="http://schemas.microsoft.com/office/drawing/2014/main" id="{EC60DCDB-1ACC-47A9-AE1F-1A29C97F512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33" name="AutoShape 2">
          <a:extLst>
            <a:ext uri="{FF2B5EF4-FFF2-40B4-BE49-F238E27FC236}">
              <a16:creationId xmlns:a16="http://schemas.microsoft.com/office/drawing/2014/main" id="{629646D4-6B0E-4F35-BC18-C28F071645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34" name="AutoShape 2">
          <a:extLst>
            <a:ext uri="{FF2B5EF4-FFF2-40B4-BE49-F238E27FC236}">
              <a16:creationId xmlns:a16="http://schemas.microsoft.com/office/drawing/2014/main" id="{E64ABA9F-0DEA-4635-B7C3-B6923E96070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35" name="AutoShape 2">
          <a:extLst>
            <a:ext uri="{FF2B5EF4-FFF2-40B4-BE49-F238E27FC236}">
              <a16:creationId xmlns:a16="http://schemas.microsoft.com/office/drawing/2014/main" id="{3C56740F-979A-4911-B73D-FC7BF9325B5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36" name="AutoShape 2">
          <a:extLst>
            <a:ext uri="{FF2B5EF4-FFF2-40B4-BE49-F238E27FC236}">
              <a16:creationId xmlns:a16="http://schemas.microsoft.com/office/drawing/2014/main" id="{0E605CE3-1A5F-4A19-BBF5-31EF0FF8CFC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37" name="AutoShape 2">
          <a:extLst>
            <a:ext uri="{FF2B5EF4-FFF2-40B4-BE49-F238E27FC236}">
              <a16:creationId xmlns:a16="http://schemas.microsoft.com/office/drawing/2014/main" id="{CD561C7C-DA6F-4E55-BA7A-AFF5F235500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38" name="AutoShape 2">
          <a:extLst>
            <a:ext uri="{FF2B5EF4-FFF2-40B4-BE49-F238E27FC236}">
              <a16:creationId xmlns:a16="http://schemas.microsoft.com/office/drawing/2014/main" id="{4D56D2B6-A160-44B3-9014-2F560AA0E55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39" name="AutoShape 2">
          <a:extLst>
            <a:ext uri="{FF2B5EF4-FFF2-40B4-BE49-F238E27FC236}">
              <a16:creationId xmlns:a16="http://schemas.microsoft.com/office/drawing/2014/main" id="{E3B160BB-3064-4C0E-A9B2-69A85F89BD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40" name="AutoShape 2">
          <a:extLst>
            <a:ext uri="{FF2B5EF4-FFF2-40B4-BE49-F238E27FC236}">
              <a16:creationId xmlns:a16="http://schemas.microsoft.com/office/drawing/2014/main" id="{E1EEADB0-1552-4098-BC39-FA2184F544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41" name="AutoShape 2">
          <a:extLst>
            <a:ext uri="{FF2B5EF4-FFF2-40B4-BE49-F238E27FC236}">
              <a16:creationId xmlns:a16="http://schemas.microsoft.com/office/drawing/2014/main" id="{5165D703-AEA6-4A88-A7DC-FB502E5386B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42" name="AutoShape 2">
          <a:extLst>
            <a:ext uri="{FF2B5EF4-FFF2-40B4-BE49-F238E27FC236}">
              <a16:creationId xmlns:a16="http://schemas.microsoft.com/office/drawing/2014/main" id="{A11BE0DD-1040-4721-B0E9-07D9DC25C6D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43" name="AutoShape 2">
          <a:extLst>
            <a:ext uri="{FF2B5EF4-FFF2-40B4-BE49-F238E27FC236}">
              <a16:creationId xmlns:a16="http://schemas.microsoft.com/office/drawing/2014/main" id="{118F010D-F2E7-4004-98E4-44A96690DAF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44" name="AutoShape 2">
          <a:extLst>
            <a:ext uri="{FF2B5EF4-FFF2-40B4-BE49-F238E27FC236}">
              <a16:creationId xmlns:a16="http://schemas.microsoft.com/office/drawing/2014/main" id="{F4D46411-6167-4324-A2B7-7EE8475F989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45" name="AutoShape 2">
          <a:extLst>
            <a:ext uri="{FF2B5EF4-FFF2-40B4-BE49-F238E27FC236}">
              <a16:creationId xmlns:a16="http://schemas.microsoft.com/office/drawing/2014/main" id="{C1EDCFEB-949D-40DA-A2F9-FF98FEA7F38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46" name="AutoShape 2">
          <a:extLst>
            <a:ext uri="{FF2B5EF4-FFF2-40B4-BE49-F238E27FC236}">
              <a16:creationId xmlns:a16="http://schemas.microsoft.com/office/drawing/2014/main" id="{89C1060A-CACC-4352-B021-9A0300174C6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47" name="AutoShape 2">
          <a:extLst>
            <a:ext uri="{FF2B5EF4-FFF2-40B4-BE49-F238E27FC236}">
              <a16:creationId xmlns:a16="http://schemas.microsoft.com/office/drawing/2014/main" id="{586FC133-319F-4631-BF37-DE4B274D3C3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48" name="AutoShape 2">
          <a:extLst>
            <a:ext uri="{FF2B5EF4-FFF2-40B4-BE49-F238E27FC236}">
              <a16:creationId xmlns:a16="http://schemas.microsoft.com/office/drawing/2014/main" id="{70F5DDFA-FECA-4C7A-B2E9-3CC9FA9BC5B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49" name="AutoShape 2">
          <a:extLst>
            <a:ext uri="{FF2B5EF4-FFF2-40B4-BE49-F238E27FC236}">
              <a16:creationId xmlns:a16="http://schemas.microsoft.com/office/drawing/2014/main" id="{0E8B6475-AB80-466E-9FD4-FD84937DC8F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50" name="AutoShape 2">
          <a:extLst>
            <a:ext uri="{FF2B5EF4-FFF2-40B4-BE49-F238E27FC236}">
              <a16:creationId xmlns:a16="http://schemas.microsoft.com/office/drawing/2014/main" id="{57179FF0-F628-4A2C-9164-7F41AAA63F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51" name="AutoShape 2">
          <a:extLst>
            <a:ext uri="{FF2B5EF4-FFF2-40B4-BE49-F238E27FC236}">
              <a16:creationId xmlns:a16="http://schemas.microsoft.com/office/drawing/2014/main" id="{DC83E795-3CB8-42ED-9BD4-DEEEFA26BA8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52" name="AutoShape 2">
          <a:extLst>
            <a:ext uri="{FF2B5EF4-FFF2-40B4-BE49-F238E27FC236}">
              <a16:creationId xmlns:a16="http://schemas.microsoft.com/office/drawing/2014/main" id="{9EF0451B-8067-4F80-88A8-CA27049A02B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53" name="AutoShape 2">
          <a:extLst>
            <a:ext uri="{FF2B5EF4-FFF2-40B4-BE49-F238E27FC236}">
              <a16:creationId xmlns:a16="http://schemas.microsoft.com/office/drawing/2014/main" id="{4B1ED6A0-1B99-4474-AEFA-D311FB5BFA8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54" name="AutoShape 2">
          <a:extLst>
            <a:ext uri="{FF2B5EF4-FFF2-40B4-BE49-F238E27FC236}">
              <a16:creationId xmlns:a16="http://schemas.microsoft.com/office/drawing/2014/main" id="{41A53D17-0797-4D97-83EA-C39F0A73C9E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55" name="AutoShape 2">
          <a:extLst>
            <a:ext uri="{FF2B5EF4-FFF2-40B4-BE49-F238E27FC236}">
              <a16:creationId xmlns:a16="http://schemas.microsoft.com/office/drawing/2014/main" id="{8E4D553C-6439-4699-827B-B444841B2C2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56" name="AutoShape 2">
          <a:extLst>
            <a:ext uri="{FF2B5EF4-FFF2-40B4-BE49-F238E27FC236}">
              <a16:creationId xmlns:a16="http://schemas.microsoft.com/office/drawing/2014/main" id="{EE569888-391D-4A48-AA24-EF4B51E21B6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57" name="AutoShape 2">
          <a:extLst>
            <a:ext uri="{FF2B5EF4-FFF2-40B4-BE49-F238E27FC236}">
              <a16:creationId xmlns:a16="http://schemas.microsoft.com/office/drawing/2014/main" id="{230F6E4F-C681-47A6-AF08-D044F598B1D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58" name="AutoShape 2">
          <a:extLst>
            <a:ext uri="{FF2B5EF4-FFF2-40B4-BE49-F238E27FC236}">
              <a16:creationId xmlns:a16="http://schemas.microsoft.com/office/drawing/2014/main" id="{4B274BE1-9537-493F-95D7-247B83AF837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59" name="AutoShape 2">
          <a:extLst>
            <a:ext uri="{FF2B5EF4-FFF2-40B4-BE49-F238E27FC236}">
              <a16:creationId xmlns:a16="http://schemas.microsoft.com/office/drawing/2014/main" id="{A75D117B-61A4-4D70-8B82-C6804D21E59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60" name="AutoShape 2">
          <a:extLst>
            <a:ext uri="{FF2B5EF4-FFF2-40B4-BE49-F238E27FC236}">
              <a16:creationId xmlns:a16="http://schemas.microsoft.com/office/drawing/2014/main" id="{3B69DE84-083E-47D5-B1F7-921C1FD205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61" name="AutoShape 2">
          <a:extLst>
            <a:ext uri="{FF2B5EF4-FFF2-40B4-BE49-F238E27FC236}">
              <a16:creationId xmlns:a16="http://schemas.microsoft.com/office/drawing/2014/main" id="{40FEE7FE-EF2D-447D-A64E-EBFA7C49F91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62" name="AutoShape 2">
          <a:extLst>
            <a:ext uri="{FF2B5EF4-FFF2-40B4-BE49-F238E27FC236}">
              <a16:creationId xmlns:a16="http://schemas.microsoft.com/office/drawing/2014/main" id="{ABD0855B-B604-4F40-858B-D60628FCDCE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63" name="AutoShape 2">
          <a:extLst>
            <a:ext uri="{FF2B5EF4-FFF2-40B4-BE49-F238E27FC236}">
              <a16:creationId xmlns:a16="http://schemas.microsoft.com/office/drawing/2014/main" id="{36C51542-27A6-468B-9263-7F57A4360BD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64" name="AutoShape 2">
          <a:extLst>
            <a:ext uri="{FF2B5EF4-FFF2-40B4-BE49-F238E27FC236}">
              <a16:creationId xmlns:a16="http://schemas.microsoft.com/office/drawing/2014/main" id="{804F45A9-1C16-4191-86CA-7FE22DB41D6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65" name="AutoShape 2">
          <a:extLst>
            <a:ext uri="{FF2B5EF4-FFF2-40B4-BE49-F238E27FC236}">
              <a16:creationId xmlns:a16="http://schemas.microsoft.com/office/drawing/2014/main" id="{1141B913-45D9-471F-B8AD-2771E3BCC55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66" name="AutoShape 2">
          <a:extLst>
            <a:ext uri="{FF2B5EF4-FFF2-40B4-BE49-F238E27FC236}">
              <a16:creationId xmlns:a16="http://schemas.microsoft.com/office/drawing/2014/main" id="{EE43C6DB-6F33-4558-9DA2-C8F99BED63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67" name="AutoShape 2">
          <a:extLst>
            <a:ext uri="{FF2B5EF4-FFF2-40B4-BE49-F238E27FC236}">
              <a16:creationId xmlns:a16="http://schemas.microsoft.com/office/drawing/2014/main" id="{7C452D55-7D8A-439B-AE8C-E9979F8E3A2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68" name="AutoShape 2">
          <a:extLst>
            <a:ext uri="{FF2B5EF4-FFF2-40B4-BE49-F238E27FC236}">
              <a16:creationId xmlns:a16="http://schemas.microsoft.com/office/drawing/2014/main" id="{EE5887ED-8D0C-4C46-AA3A-46B1ECF9BCC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69" name="AutoShape 2">
          <a:extLst>
            <a:ext uri="{FF2B5EF4-FFF2-40B4-BE49-F238E27FC236}">
              <a16:creationId xmlns:a16="http://schemas.microsoft.com/office/drawing/2014/main" id="{BC10F75A-671F-4331-B013-5F903672742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70" name="AutoShape 2">
          <a:extLst>
            <a:ext uri="{FF2B5EF4-FFF2-40B4-BE49-F238E27FC236}">
              <a16:creationId xmlns:a16="http://schemas.microsoft.com/office/drawing/2014/main" id="{D4C6C034-B338-40AA-A9B2-B1D980135F1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71" name="AutoShape 2">
          <a:extLst>
            <a:ext uri="{FF2B5EF4-FFF2-40B4-BE49-F238E27FC236}">
              <a16:creationId xmlns:a16="http://schemas.microsoft.com/office/drawing/2014/main" id="{DAEA16D4-5823-443D-B6A5-0ED7A383631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72" name="AutoShape 2">
          <a:extLst>
            <a:ext uri="{FF2B5EF4-FFF2-40B4-BE49-F238E27FC236}">
              <a16:creationId xmlns:a16="http://schemas.microsoft.com/office/drawing/2014/main" id="{4A82252C-C154-416E-B4AA-2448CF54C61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73" name="AutoShape 2">
          <a:extLst>
            <a:ext uri="{FF2B5EF4-FFF2-40B4-BE49-F238E27FC236}">
              <a16:creationId xmlns:a16="http://schemas.microsoft.com/office/drawing/2014/main" id="{3239F892-D35C-4683-83F2-F4F30BD3F20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74" name="AutoShape 2">
          <a:extLst>
            <a:ext uri="{FF2B5EF4-FFF2-40B4-BE49-F238E27FC236}">
              <a16:creationId xmlns:a16="http://schemas.microsoft.com/office/drawing/2014/main" id="{879B40D0-3A28-428C-92D3-A8238E83D6A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75" name="AutoShape 2">
          <a:extLst>
            <a:ext uri="{FF2B5EF4-FFF2-40B4-BE49-F238E27FC236}">
              <a16:creationId xmlns:a16="http://schemas.microsoft.com/office/drawing/2014/main" id="{33B2C6FC-4DC2-4B4E-9240-B5087001151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76" name="AutoShape 2">
          <a:extLst>
            <a:ext uri="{FF2B5EF4-FFF2-40B4-BE49-F238E27FC236}">
              <a16:creationId xmlns:a16="http://schemas.microsoft.com/office/drawing/2014/main" id="{E2CA5391-3DED-4CE2-8290-339F125BB66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77" name="AutoShape 2">
          <a:extLst>
            <a:ext uri="{FF2B5EF4-FFF2-40B4-BE49-F238E27FC236}">
              <a16:creationId xmlns:a16="http://schemas.microsoft.com/office/drawing/2014/main" id="{B335A174-F388-4D2E-A53C-D48F336F218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78" name="AutoShape 2">
          <a:extLst>
            <a:ext uri="{FF2B5EF4-FFF2-40B4-BE49-F238E27FC236}">
              <a16:creationId xmlns:a16="http://schemas.microsoft.com/office/drawing/2014/main" id="{6D3FAEE3-0CFF-4E95-BD85-38A67D6D258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79" name="AutoShape 2">
          <a:extLst>
            <a:ext uri="{FF2B5EF4-FFF2-40B4-BE49-F238E27FC236}">
              <a16:creationId xmlns:a16="http://schemas.microsoft.com/office/drawing/2014/main" id="{7BCE68F3-EECD-4235-81A5-DD91F487313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80" name="AutoShape 2">
          <a:extLst>
            <a:ext uri="{FF2B5EF4-FFF2-40B4-BE49-F238E27FC236}">
              <a16:creationId xmlns:a16="http://schemas.microsoft.com/office/drawing/2014/main" id="{538B69F7-A06D-44E3-A915-4EC6C08F3A2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81" name="AutoShape 2">
          <a:extLst>
            <a:ext uri="{FF2B5EF4-FFF2-40B4-BE49-F238E27FC236}">
              <a16:creationId xmlns:a16="http://schemas.microsoft.com/office/drawing/2014/main" id="{25B04EDC-6B6A-4B2B-9521-45D789097AF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82" name="AutoShape 2">
          <a:extLst>
            <a:ext uri="{FF2B5EF4-FFF2-40B4-BE49-F238E27FC236}">
              <a16:creationId xmlns:a16="http://schemas.microsoft.com/office/drawing/2014/main" id="{E4A9281D-7313-4AEB-88D0-0AFFFE93BF5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83" name="AutoShape 2">
          <a:extLst>
            <a:ext uri="{FF2B5EF4-FFF2-40B4-BE49-F238E27FC236}">
              <a16:creationId xmlns:a16="http://schemas.microsoft.com/office/drawing/2014/main" id="{36EA233D-BC8B-4D4D-AA4C-7D8E67E096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84" name="AutoShape 2">
          <a:extLst>
            <a:ext uri="{FF2B5EF4-FFF2-40B4-BE49-F238E27FC236}">
              <a16:creationId xmlns:a16="http://schemas.microsoft.com/office/drawing/2014/main" id="{01708B0C-3B83-4CA2-A660-3E174BE331E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85" name="AutoShape 2">
          <a:extLst>
            <a:ext uri="{FF2B5EF4-FFF2-40B4-BE49-F238E27FC236}">
              <a16:creationId xmlns:a16="http://schemas.microsoft.com/office/drawing/2014/main" id="{FA5C4B3A-3710-45F9-AE4F-B3DF34F8C12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86" name="AutoShape 2">
          <a:extLst>
            <a:ext uri="{FF2B5EF4-FFF2-40B4-BE49-F238E27FC236}">
              <a16:creationId xmlns:a16="http://schemas.microsoft.com/office/drawing/2014/main" id="{2DCB9519-C373-4938-BEEE-5C9ACFFB9B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87" name="AutoShape 2">
          <a:extLst>
            <a:ext uri="{FF2B5EF4-FFF2-40B4-BE49-F238E27FC236}">
              <a16:creationId xmlns:a16="http://schemas.microsoft.com/office/drawing/2014/main" id="{AA2E82C1-D27D-4CE9-BF79-3E75CF62AA1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88" name="AutoShape 2">
          <a:extLst>
            <a:ext uri="{FF2B5EF4-FFF2-40B4-BE49-F238E27FC236}">
              <a16:creationId xmlns:a16="http://schemas.microsoft.com/office/drawing/2014/main" id="{804DDF9D-5A1D-491A-9DA7-9B5A69F5FDB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89" name="AutoShape 2">
          <a:extLst>
            <a:ext uri="{FF2B5EF4-FFF2-40B4-BE49-F238E27FC236}">
              <a16:creationId xmlns:a16="http://schemas.microsoft.com/office/drawing/2014/main" id="{B5DE5DAA-5CAF-4990-9209-9C3C060C5D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90" name="AutoShape 2">
          <a:extLst>
            <a:ext uri="{FF2B5EF4-FFF2-40B4-BE49-F238E27FC236}">
              <a16:creationId xmlns:a16="http://schemas.microsoft.com/office/drawing/2014/main" id="{E37ADB97-CF6F-4D4E-B217-277B0466E96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91" name="AutoShape 2">
          <a:extLst>
            <a:ext uri="{FF2B5EF4-FFF2-40B4-BE49-F238E27FC236}">
              <a16:creationId xmlns:a16="http://schemas.microsoft.com/office/drawing/2014/main" id="{7686C9AA-3A6C-4C75-B305-FC4A5BBCE43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92" name="AutoShape 2">
          <a:extLst>
            <a:ext uri="{FF2B5EF4-FFF2-40B4-BE49-F238E27FC236}">
              <a16:creationId xmlns:a16="http://schemas.microsoft.com/office/drawing/2014/main" id="{3949037A-35CA-4BE9-ADF3-9931E50CA9B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93" name="AutoShape 2">
          <a:extLst>
            <a:ext uri="{FF2B5EF4-FFF2-40B4-BE49-F238E27FC236}">
              <a16:creationId xmlns:a16="http://schemas.microsoft.com/office/drawing/2014/main" id="{EDB78767-62EE-4360-9C7B-FBE21630EF4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94" name="AutoShape 2">
          <a:extLst>
            <a:ext uri="{FF2B5EF4-FFF2-40B4-BE49-F238E27FC236}">
              <a16:creationId xmlns:a16="http://schemas.microsoft.com/office/drawing/2014/main" id="{B6E0401C-F458-4956-B4B7-9167EA74C06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95" name="AutoShape 2">
          <a:extLst>
            <a:ext uri="{FF2B5EF4-FFF2-40B4-BE49-F238E27FC236}">
              <a16:creationId xmlns:a16="http://schemas.microsoft.com/office/drawing/2014/main" id="{BC814EB2-DB34-44BB-B02C-9599468060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96" name="AutoShape 2">
          <a:extLst>
            <a:ext uri="{FF2B5EF4-FFF2-40B4-BE49-F238E27FC236}">
              <a16:creationId xmlns:a16="http://schemas.microsoft.com/office/drawing/2014/main" id="{D65CDF41-2BB4-4B69-8352-E34607F04A8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97" name="AutoShape 2">
          <a:extLst>
            <a:ext uri="{FF2B5EF4-FFF2-40B4-BE49-F238E27FC236}">
              <a16:creationId xmlns:a16="http://schemas.microsoft.com/office/drawing/2014/main" id="{45063336-200D-4364-849E-67E4BD7B4ED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98" name="AutoShape 2">
          <a:extLst>
            <a:ext uri="{FF2B5EF4-FFF2-40B4-BE49-F238E27FC236}">
              <a16:creationId xmlns:a16="http://schemas.microsoft.com/office/drawing/2014/main" id="{5C264DCB-C1EF-4B39-8A20-CB6D3CE354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099" name="AutoShape 2">
          <a:extLst>
            <a:ext uri="{FF2B5EF4-FFF2-40B4-BE49-F238E27FC236}">
              <a16:creationId xmlns:a16="http://schemas.microsoft.com/office/drawing/2014/main" id="{1756E205-3594-4032-86D2-F13AD08399A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100" name="AutoShape 2">
          <a:extLst>
            <a:ext uri="{FF2B5EF4-FFF2-40B4-BE49-F238E27FC236}">
              <a16:creationId xmlns:a16="http://schemas.microsoft.com/office/drawing/2014/main" id="{1EB8E2B0-60C9-4613-8D11-22B3E2EE0F0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101" name="AutoShape 2">
          <a:extLst>
            <a:ext uri="{FF2B5EF4-FFF2-40B4-BE49-F238E27FC236}">
              <a16:creationId xmlns:a16="http://schemas.microsoft.com/office/drawing/2014/main" id="{217B23BB-F864-46F9-9873-FF76BF1F2C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102" name="AutoShape 2">
          <a:extLst>
            <a:ext uri="{FF2B5EF4-FFF2-40B4-BE49-F238E27FC236}">
              <a16:creationId xmlns:a16="http://schemas.microsoft.com/office/drawing/2014/main" id="{9FEEEAD0-FEAF-4F11-9C5B-109FF495F5C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103" name="AutoShape 2">
          <a:extLst>
            <a:ext uri="{FF2B5EF4-FFF2-40B4-BE49-F238E27FC236}">
              <a16:creationId xmlns:a16="http://schemas.microsoft.com/office/drawing/2014/main" id="{360EFB8A-FA98-4854-BA15-41412802245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104" name="AutoShape 2">
          <a:extLst>
            <a:ext uri="{FF2B5EF4-FFF2-40B4-BE49-F238E27FC236}">
              <a16:creationId xmlns:a16="http://schemas.microsoft.com/office/drawing/2014/main" id="{D6197458-1225-4849-B039-2288F80B9BA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105" name="AutoShape 2">
          <a:extLst>
            <a:ext uri="{FF2B5EF4-FFF2-40B4-BE49-F238E27FC236}">
              <a16:creationId xmlns:a16="http://schemas.microsoft.com/office/drawing/2014/main" id="{26804997-F072-4783-A01A-D96FED67FC6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106" name="AutoShape 2">
          <a:extLst>
            <a:ext uri="{FF2B5EF4-FFF2-40B4-BE49-F238E27FC236}">
              <a16:creationId xmlns:a16="http://schemas.microsoft.com/office/drawing/2014/main" id="{2DE21B28-5D5A-4B42-8C73-802DD96D4B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107" name="AutoShape 2">
          <a:extLst>
            <a:ext uri="{FF2B5EF4-FFF2-40B4-BE49-F238E27FC236}">
              <a16:creationId xmlns:a16="http://schemas.microsoft.com/office/drawing/2014/main" id="{024254B5-7B65-4CC4-AE49-85189E5AEA2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108" name="AutoShape 2">
          <a:extLst>
            <a:ext uri="{FF2B5EF4-FFF2-40B4-BE49-F238E27FC236}">
              <a16:creationId xmlns:a16="http://schemas.microsoft.com/office/drawing/2014/main" id="{070AAED0-5D75-4EBD-A24D-0FC734B3857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109" name="AutoShape 2">
          <a:extLst>
            <a:ext uri="{FF2B5EF4-FFF2-40B4-BE49-F238E27FC236}">
              <a16:creationId xmlns:a16="http://schemas.microsoft.com/office/drawing/2014/main" id="{7F8436A2-6329-4846-A58E-AE20169FCB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1110" name="AutoShape 2">
          <a:extLst>
            <a:ext uri="{FF2B5EF4-FFF2-40B4-BE49-F238E27FC236}">
              <a16:creationId xmlns:a16="http://schemas.microsoft.com/office/drawing/2014/main" id="{E655B8F5-46B5-48A3-A3AA-5E414A1BEB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D772CFFB-5A33-0948-50C9-12DA239EB59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36538D60-D370-06CB-22A1-F6248CE2F01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2DEEED1-2CD8-6758-8F4A-62E88D046B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9A2797B3-EADB-3448-8428-23561FDF96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1810C974-88B0-8096-9B5A-D2CFCD9ECD9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38DB5316-A27B-27F5-A111-0EACECFDAE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65C69579-7191-06AB-09DA-043F3187FA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DD15B424-9FCC-0C3F-6D57-EA0346BE8EE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1119B98C-0C0A-B711-90F4-91F535E38FB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28AF6110-62E8-9E48-8343-D9A5BC6B59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FBE2CF52-8744-55DC-7D38-96A9429C36F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DFC28964-70E2-01E6-C749-F13285ABF2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7AC6D9E-2A5B-E92D-4E64-8B74AC2D51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E535B22D-5B11-5A4F-AFF1-D151C598CE0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48EA9D5-5CB9-8407-417B-4E6F02340E1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247F427-BD97-B044-7094-6A82ECFB96A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3A2E6435-2889-64BA-78D3-CAC51070EEB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6B110422-91B9-1856-AD3C-B751DAF71E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C5C46B16-EDFC-509B-3D34-6CC7BC0059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B7C05BA-0A90-4A23-F149-D77B670CE8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254DEE6F-19B0-E82E-A099-18C6AAD88E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43294B46-A868-933D-CBF7-B1C3C52DEB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E0867DF0-C809-C0D6-0CFE-83F99D06F2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B9E06383-8B18-7D26-55B4-6A774F26DC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681D6FB1-CF09-4AE2-6755-ED91A173071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802941B1-9F19-E50A-0DA2-ACFBE8A1B20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1DB41B7B-BFC1-7067-7B16-C03C0DB025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B83CB2BA-10EF-1082-556F-0EA8316DB59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440AACC4-FEC0-50AE-DC80-70EB37EA36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42473C5E-9FDC-3E28-52F7-0F5A8734BAD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4B50E83-7945-4413-EAB1-B3F2FEB8564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0572346-11BC-20C1-8F4B-E1F23B7D3D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39EF6B33-6247-1F5D-019D-1AB2733F7DE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17CAA51B-E6C5-955F-C78E-737E3A30B0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46</xdr:row>
      <xdr:rowOff>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DB0FCBD9-7FC0-4965-ECC9-E7EBB73A5A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662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46</xdr:row>
      <xdr:rowOff>0</xdr:rowOff>
    </xdr:to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F1D04682-9C52-4AEA-874A-6DBF1F8745C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662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46</xdr:row>
      <xdr:rowOff>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2E8AFFBA-EBA0-586B-7B93-E0929C83250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662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47</xdr:row>
      <xdr:rowOff>0</xdr:rowOff>
    </xdr:to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5958FA3E-4FED-152D-6B7A-3A1F569C876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6625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709A1A50-E190-486F-97B1-A21A05B249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42B70C79-A454-409D-A82E-D77CE1D2E7B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33E1562B-030A-4F7A-878E-8F976D2A41F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9E630A72-8921-493F-97A4-7263E6F2336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61B5A340-E5F4-4095-AD32-4BC79F60E6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1142080E-58E5-42AF-9732-33D91B5E7D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D98C5C5B-E10D-4205-9FF6-4EFE1C0A9A5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24F80E10-2BBB-4A02-B2C6-B0DE9E3BD30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6EBDB843-93FB-4D2F-ACC8-CD9291FA1FC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75A59A2D-3EF5-4221-9B45-1E32F47F6AA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F6ABD6CD-0229-4DE6-A39E-A072AEC67E5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50E2F025-3DDB-4A12-B6CF-A88AC1C2435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3773E755-2814-4FC3-992B-DB0370C3A45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DF774C59-5D7B-49A6-A75A-4AE83881299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9C4FDA3F-7BCB-4453-8DD3-4EA75E35242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B0F7147B-739D-4AC3-9CF1-27EC30F1DE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1A2041A0-B1E2-4A3A-918F-60448AF3B01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AFD1306E-ABBD-4F6E-850D-CAA3CD3F4D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603ED4B7-2B10-4BCE-B93F-314CDA075A1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328803D8-2E8E-40EF-934F-8D99FC9597C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8A88C825-A6E3-439C-A983-44008CE2CCB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1D2CA996-9B28-4D60-A33D-0459CA96FFC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C2640FA8-C71E-4318-AD3E-A54B34D29C5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46" name="AutoShape 2">
          <a:extLst>
            <a:ext uri="{FF2B5EF4-FFF2-40B4-BE49-F238E27FC236}">
              <a16:creationId xmlns:a16="http://schemas.microsoft.com/office/drawing/2014/main" id="{DBBCD0FC-D14C-4684-B360-D18E15190CE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56652752-AEDF-46CF-B693-A9EF78F275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9EE98E29-3556-4C7F-90F4-D39A0DAA967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id="{C95213A8-1431-44C9-BADB-74440EB2E39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50" name="AutoShape 2">
          <a:extLst>
            <a:ext uri="{FF2B5EF4-FFF2-40B4-BE49-F238E27FC236}">
              <a16:creationId xmlns:a16="http://schemas.microsoft.com/office/drawing/2014/main" id="{1E78B5C8-FF06-42C4-B179-F0F793E6CAC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0FF8606C-258F-44BE-9645-4045A831D74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52" name="AutoShape 2">
          <a:extLst>
            <a:ext uri="{FF2B5EF4-FFF2-40B4-BE49-F238E27FC236}">
              <a16:creationId xmlns:a16="http://schemas.microsoft.com/office/drawing/2014/main" id="{809364B1-3EB6-45CE-AD82-4F41275776E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id="{979D80DC-2713-4C47-91E3-50B7F157271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54" name="AutoShape 2">
          <a:extLst>
            <a:ext uri="{FF2B5EF4-FFF2-40B4-BE49-F238E27FC236}">
              <a16:creationId xmlns:a16="http://schemas.microsoft.com/office/drawing/2014/main" id="{442EF8A3-8C99-4458-8049-913D24A18C2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AEFE3247-78DD-424F-9F9F-78179DE4DE9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56" name="AutoShape 2">
          <a:extLst>
            <a:ext uri="{FF2B5EF4-FFF2-40B4-BE49-F238E27FC236}">
              <a16:creationId xmlns:a16="http://schemas.microsoft.com/office/drawing/2014/main" id="{F3F397A9-7EAF-4A57-AB96-535DC2161CB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FE29650F-76DE-42C4-BD5D-3CBC90D976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58" name="AutoShape 2">
          <a:extLst>
            <a:ext uri="{FF2B5EF4-FFF2-40B4-BE49-F238E27FC236}">
              <a16:creationId xmlns:a16="http://schemas.microsoft.com/office/drawing/2014/main" id="{4512D735-09C1-4BE6-92E7-9512DDF3D9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80CCC0EC-FCC1-4346-B82C-705F9FA16C4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60" name="AutoShape 2">
          <a:extLst>
            <a:ext uri="{FF2B5EF4-FFF2-40B4-BE49-F238E27FC236}">
              <a16:creationId xmlns:a16="http://schemas.microsoft.com/office/drawing/2014/main" id="{36060FC2-E16A-4CAC-BC20-23289B34CB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61" name="AutoShape 2">
          <a:extLst>
            <a:ext uri="{FF2B5EF4-FFF2-40B4-BE49-F238E27FC236}">
              <a16:creationId xmlns:a16="http://schemas.microsoft.com/office/drawing/2014/main" id="{AF8EC2BE-DF63-4D15-B1CE-54A36BE207C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62" name="AutoShape 2">
          <a:extLst>
            <a:ext uri="{FF2B5EF4-FFF2-40B4-BE49-F238E27FC236}">
              <a16:creationId xmlns:a16="http://schemas.microsoft.com/office/drawing/2014/main" id="{6E9E2ED7-55FF-46D9-B951-9242C4FF4A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52C147CE-1E0A-470A-B2FA-5374DF68DC8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072" name="AutoShape 2">
          <a:extLst>
            <a:ext uri="{FF2B5EF4-FFF2-40B4-BE49-F238E27FC236}">
              <a16:creationId xmlns:a16="http://schemas.microsoft.com/office/drawing/2014/main" id="{1B3FD7C5-2B90-4ED6-B5DE-7ECC42F0AE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073" name="AutoShape 2">
          <a:extLst>
            <a:ext uri="{FF2B5EF4-FFF2-40B4-BE49-F238E27FC236}">
              <a16:creationId xmlns:a16="http://schemas.microsoft.com/office/drawing/2014/main" id="{BC870876-0E90-425B-8FB1-F122250555B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075" name="AutoShape 2">
          <a:extLst>
            <a:ext uri="{FF2B5EF4-FFF2-40B4-BE49-F238E27FC236}">
              <a16:creationId xmlns:a16="http://schemas.microsoft.com/office/drawing/2014/main" id="{96BD0128-2F8B-4153-964E-B04D137D58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076" name="AutoShape 2">
          <a:extLst>
            <a:ext uri="{FF2B5EF4-FFF2-40B4-BE49-F238E27FC236}">
              <a16:creationId xmlns:a16="http://schemas.microsoft.com/office/drawing/2014/main" id="{4C793BDA-61CE-4DC8-9410-B1C01A1C734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077" name="AutoShape 2">
          <a:extLst>
            <a:ext uri="{FF2B5EF4-FFF2-40B4-BE49-F238E27FC236}">
              <a16:creationId xmlns:a16="http://schemas.microsoft.com/office/drawing/2014/main" id="{9BC4549A-4FD7-4CFE-AECA-77CA9EE88F0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078" name="AutoShape 2">
          <a:extLst>
            <a:ext uri="{FF2B5EF4-FFF2-40B4-BE49-F238E27FC236}">
              <a16:creationId xmlns:a16="http://schemas.microsoft.com/office/drawing/2014/main" id="{6F124179-4498-40DB-86A7-400B50A14E1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079" name="AutoShape 2">
          <a:extLst>
            <a:ext uri="{FF2B5EF4-FFF2-40B4-BE49-F238E27FC236}">
              <a16:creationId xmlns:a16="http://schemas.microsoft.com/office/drawing/2014/main" id="{783C09A7-1F90-410E-A739-502CF450309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080" name="AutoShape 2">
          <a:extLst>
            <a:ext uri="{FF2B5EF4-FFF2-40B4-BE49-F238E27FC236}">
              <a16:creationId xmlns:a16="http://schemas.microsoft.com/office/drawing/2014/main" id="{2E75F6C9-17AF-4F1C-B2B0-67D847A0B42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081" name="AutoShape 2">
          <a:extLst>
            <a:ext uri="{FF2B5EF4-FFF2-40B4-BE49-F238E27FC236}">
              <a16:creationId xmlns:a16="http://schemas.microsoft.com/office/drawing/2014/main" id="{F87C53AB-240C-4214-BD20-3CF14CA9D65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082" name="AutoShape 2">
          <a:extLst>
            <a:ext uri="{FF2B5EF4-FFF2-40B4-BE49-F238E27FC236}">
              <a16:creationId xmlns:a16="http://schemas.microsoft.com/office/drawing/2014/main" id="{C787BF3F-1050-421F-A232-0BBD2D6F565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083" name="AutoShape 2">
          <a:extLst>
            <a:ext uri="{FF2B5EF4-FFF2-40B4-BE49-F238E27FC236}">
              <a16:creationId xmlns:a16="http://schemas.microsoft.com/office/drawing/2014/main" id="{A0C999CB-370C-420D-93C0-6B98E2F8EA2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084" name="AutoShape 2">
          <a:extLst>
            <a:ext uri="{FF2B5EF4-FFF2-40B4-BE49-F238E27FC236}">
              <a16:creationId xmlns:a16="http://schemas.microsoft.com/office/drawing/2014/main" id="{7FAB5EA5-10CD-43FE-AD44-947A760DBA3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085" name="AutoShape 2">
          <a:extLst>
            <a:ext uri="{FF2B5EF4-FFF2-40B4-BE49-F238E27FC236}">
              <a16:creationId xmlns:a16="http://schemas.microsoft.com/office/drawing/2014/main" id="{FE46EEED-CB4A-4274-89C9-57C65753450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086" name="AutoShape 2">
          <a:extLst>
            <a:ext uri="{FF2B5EF4-FFF2-40B4-BE49-F238E27FC236}">
              <a16:creationId xmlns:a16="http://schemas.microsoft.com/office/drawing/2014/main" id="{CE6E8A18-13A1-4090-9AA4-51086B3746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087" name="AutoShape 2">
          <a:extLst>
            <a:ext uri="{FF2B5EF4-FFF2-40B4-BE49-F238E27FC236}">
              <a16:creationId xmlns:a16="http://schemas.microsoft.com/office/drawing/2014/main" id="{A0181B0E-B77F-4972-836C-CD20C794DB0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088" name="AutoShape 2">
          <a:extLst>
            <a:ext uri="{FF2B5EF4-FFF2-40B4-BE49-F238E27FC236}">
              <a16:creationId xmlns:a16="http://schemas.microsoft.com/office/drawing/2014/main" id="{F2DA0C69-9795-450D-A07C-50AD74DB608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089" name="AutoShape 2">
          <a:extLst>
            <a:ext uri="{FF2B5EF4-FFF2-40B4-BE49-F238E27FC236}">
              <a16:creationId xmlns:a16="http://schemas.microsoft.com/office/drawing/2014/main" id="{76DCADAB-8343-4161-9AC7-A7D7E333AD6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090" name="AutoShape 2">
          <a:extLst>
            <a:ext uri="{FF2B5EF4-FFF2-40B4-BE49-F238E27FC236}">
              <a16:creationId xmlns:a16="http://schemas.microsoft.com/office/drawing/2014/main" id="{4A12EB6B-B983-4E61-B065-0D3C0F6820E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091" name="AutoShape 2">
          <a:extLst>
            <a:ext uri="{FF2B5EF4-FFF2-40B4-BE49-F238E27FC236}">
              <a16:creationId xmlns:a16="http://schemas.microsoft.com/office/drawing/2014/main" id="{3F98B5C4-62D8-44C9-9B96-4800B591E7E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092" name="AutoShape 2">
          <a:extLst>
            <a:ext uri="{FF2B5EF4-FFF2-40B4-BE49-F238E27FC236}">
              <a16:creationId xmlns:a16="http://schemas.microsoft.com/office/drawing/2014/main" id="{B5F488A2-AF3A-4E2C-A71C-217D1D456F8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093" name="AutoShape 2">
          <a:extLst>
            <a:ext uri="{FF2B5EF4-FFF2-40B4-BE49-F238E27FC236}">
              <a16:creationId xmlns:a16="http://schemas.microsoft.com/office/drawing/2014/main" id="{F7C34DEB-CF08-40CF-8CC6-B014EA133AB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094" name="AutoShape 2">
          <a:extLst>
            <a:ext uri="{FF2B5EF4-FFF2-40B4-BE49-F238E27FC236}">
              <a16:creationId xmlns:a16="http://schemas.microsoft.com/office/drawing/2014/main" id="{1FD94017-EC7F-4C04-81A2-0CC84EDA29A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095" name="AutoShape 2">
          <a:extLst>
            <a:ext uri="{FF2B5EF4-FFF2-40B4-BE49-F238E27FC236}">
              <a16:creationId xmlns:a16="http://schemas.microsoft.com/office/drawing/2014/main" id="{BEDF0E6C-A3AC-419B-A530-63F7A68D6DF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096" name="AutoShape 2">
          <a:extLst>
            <a:ext uri="{FF2B5EF4-FFF2-40B4-BE49-F238E27FC236}">
              <a16:creationId xmlns:a16="http://schemas.microsoft.com/office/drawing/2014/main" id="{76CD270F-8C19-4595-846E-2827CCDB1FF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097" name="AutoShape 2">
          <a:extLst>
            <a:ext uri="{FF2B5EF4-FFF2-40B4-BE49-F238E27FC236}">
              <a16:creationId xmlns:a16="http://schemas.microsoft.com/office/drawing/2014/main" id="{89474492-0422-46A2-8D3B-F8CB6C8ED8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098" name="AutoShape 2">
          <a:extLst>
            <a:ext uri="{FF2B5EF4-FFF2-40B4-BE49-F238E27FC236}">
              <a16:creationId xmlns:a16="http://schemas.microsoft.com/office/drawing/2014/main" id="{F150EDC1-28B0-4781-B295-1298893F451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099" name="AutoShape 2">
          <a:extLst>
            <a:ext uri="{FF2B5EF4-FFF2-40B4-BE49-F238E27FC236}">
              <a16:creationId xmlns:a16="http://schemas.microsoft.com/office/drawing/2014/main" id="{3DF74AFF-A78A-4D6B-B554-61D33F5E297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00" name="AutoShape 2">
          <a:extLst>
            <a:ext uri="{FF2B5EF4-FFF2-40B4-BE49-F238E27FC236}">
              <a16:creationId xmlns:a16="http://schemas.microsoft.com/office/drawing/2014/main" id="{6543A983-BEAB-468D-AA80-E8BBDD6BC2A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01" name="AutoShape 2">
          <a:extLst>
            <a:ext uri="{FF2B5EF4-FFF2-40B4-BE49-F238E27FC236}">
              <a16:creationId xmlns:a16="http://schemas.microsoft.com/office/drawing/2014/main" id="{3BE9FF55-B917-4A56-82F6-F448B5D99F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02" name="AutoShape 2">
          <a:extLst>
            <a:ext uri="{FF2B5EF4-FFF2-40B4-BE49-F238E27FC236}">
              <a16:creationId xmlns:a16="http://schemas.microsoft.com/office/drawing/2014/main" id="{D29DC2FD-620A-4EFC-B39B-F234A301B34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03" name="AutoShape 2">
          <a:extLst>
            <a:ext uri="{FF2B5EF4-FFF2-40B4-BE49-F238E27FC236}">
              <a16:creationId xmlns:a16="http://schemas.microsoft.com/office/drawing/2014/main" id="{99819AE2-5E9F-49A7-8033-4F38B5AF1B3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04" name="AutoShape 2">
          <a:extLst>
            <a:ext uri="{FF2B5EF4-FFF2-40B4-BE49-F238E27FC236}">
              <a16:creationId xmlns:a16="http://schemas.microsoft.com/office/drawing/2014/main" id="{56230E99-1693-4ADC-A189-842D066A726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05" name="AutoShape 2">
          <a:extLst>
            <a:ext uri="{FF2B5EF4-FFF2-40B4-BE49-F238E27FC236}">
              <a16:creationId xmlns:a16="http://schemas.microsoft.com/office/drawing/2014/main" id="{D3475B29-F136-4F5F-8AF3-A41F411D7D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06" name="AutoShape 2">
          <a:extLst>
            <a:ext uri="{FF2B5EF4-FFF2-40B4-BE49-F238E27FC236}">
              <a16:creationId xmlns:a16="http://schemas.microsoft.com/office/drawing/2014/main" id="{F443195F-FFFF-4858-A308-FDC84DA178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07" name="AutoShape 2">
          <a:extLst>
            <a:ext uri="{FF2B5EF4-FFF2-40B4-BE49-F238E27FC236}">
              <a16:creationId xmlns:a16="http://schemas.microsoft.com/office/drawing/2014/main" id="{7C9E5CD9-C8D8-4CE2-849E-D452838E863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08" name="AutoShape 2">
          <a:extLst>
            <a:ext uri="{FF2B5EF4-FFF2-40B4-BE49-F238E27FC236}">
              <a16:creationId xmlns:a16="http://schemas.microsoft.com/office/drawing/2014/main" id="{DE52552C-B925-47F7-9FE5-F13AA25919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09" name="AutoShape 2">
          <a:extLst>
            <a:ext uri="{FF2B5EF4-FFF2-40B4-BE49-F238E27FC236}">
              <a16:creationId xmlns:a16="http://schemas.microsoft.com/office/drawing/2014/main" id="{78F81E71-FDB2-4CB9-98C9-EEC84FF6317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10" name="AutoShape 2">
          <a:extLst>
            <a:ext uri="{FF2B5EF4-FFF2-40B4-BE49-F238E27FC236}">
              <a16:creationId xmlns:a16="http://schemas.microsoft.com/office/drawing/2014/main" id="{77EF54F1-9D7D-4FC2-983A-3B8A2A106A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11" name="AutoShape 2">
          <a:extLst>
            <a:ext uri="{FF2B5EF4-FFF2-40B4-BE49-F238E27FC236}">
              <a16:creationId xmlns:a16="http://schemas.microsoft.com/office/drawing/2014/main" id="{A2E9750A-66DF-4739-A55A-9868E9DA7E0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12" name="AutoShape 2">
          <a:extLst>
            <a:ext uri="{FF2B5EF4-FFF2-40B4-BE49-F238E27FC236}">
              <a16:creationId xmlns:a16="http://schemas.microsoft.com/office/drawing/2014/main" id="{9A674E1E-CE2A-418F-AD34-68D709B8598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13" name="AutoShape 2">
          <a:extLst>
            <a:ext uri="{FF2B5EF4-FFF2-40B4-BE49-F238E27FC236}">
              <a16:creationId xmlns:a16="http://schemas.microsoft.com/office/drawing/2014/main" id="{4AF25078-F7CB-40ED-8CC4-BE4E11BE81A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14" name="AutoShape 2">
          <a:extLst>
            <a:ext uri="{FF2B5EF4-FFF2-40B4-BE49-F238E27FC236}">
              <a16:creationId xmlns:a16="http://schemas.microsoft.com/office/drawing/2014/main" id="{96F3B433-221A-44EE-BE40-8EB2A165FF4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15" name="AutoShape 2">
          <a:extLst>
            <a:ext uri="{FF2B5EF4-FFF2-40B4-BE49-F238E27FC236}">
              <a16:creationId xmlns:a16="http://schemas.microsoft.com/office/drawing/2014/main" id="{FEAF8FA8-5D12-4887-99D4-DA9D8AC5B8A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16" name="AutoShape 2">
          <a:extLst>
            <a:ext uri="{FF2B5EF4-FFF2-40B4-BE49-F238E27FC236}">
              <a16:creationId xmlns:a16="http://schemas.microsoft.com/office/drawing/2014/main" id="{CFB4F6A7-0DD3-4C1A-95A8-EBDECD72CF7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17" name="AutoShape 2">
          <a:extLst>
            <a:ext uri="{FF2B5EF4-FFF2-40B4-BE49-F238E27FC236}">
              <a16:creationId xmlns:a16="http://schemas.microsoft.com/office/drawing/2014/main" id="{2DB2BE96-D376-4173-8223-2B334C7976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18" name="AutoShape 2">
          <a:extLst>
            <a:ext uri="{FF2B5EF4-FFF2-40B4-BE49-F238E27FC236}">
              <a16:creationId xmlns:a16="http://schemas.microsoft.com/office/drawing/2014/main" id="{31251DBE-B141-43C4-8A09-861796F1494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19" name="AutoShape 2">
          <a:extLst>
            <a:ext uri="{FF2B5EF4-FFF2-40B4-BE49-F238E27FC236}">
              <a16:creationId xmlns:a16="http://schemas.microsoft.com/office/drawing/2014/main" id="{5FFCBBFB-6448-4830-A2A7-579C06FE012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20" name="AutoShape 2">
          <a:extLst>
            <a:ext uri="{FF2B5EF4-FFF2-40B4-BE49-F238E27FC236}">
              <a16:creationId xmlns:a16="http://schemas.microsoft.com/office/drawing/2014/main" id="{4FDA96B4-4FC3-40B9-8CDA-D7549FD37A9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21" name="AutoShape 2">
          <a:extLst>
            <a:ext uri="{FF2B5EF4-FFF2-40B4-BE49-F238E27FC236}">
              <a16:creationId xmlns:a16="http://schemas.microsoft.com/office/drawing/2014/main" id="{4CBD2D42-335F-4777-92D3-86D5A2EA374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22" name="AutoShape 2">
          <a:extLst>
            <a:ext uri="{FF2B5EF4-FFF2-40B4-BE49-F238E27FC236}">
              <a16:creationId xmlns:a16="http://schemas.microsoft.com/office/drawing/2014/main" id="{A10E1AC8-53ED-47FD-97D5-ED2406D7556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23" name="AutoShape 2">
          <a:extLst>
            <a:ext uri="{FF2B5EF4-FFF2-40B4-BE49-F238E27FC236}">
              <a16:creationId xmlns:a16="http://schemas.microsoft.com/office/drawing/2014/main" id="{C2D21457-78BF-4010-857A-AF7FEB2A48D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24" name="AutoShape 2">
          <a:extLst>
            <a:ext uri="{FF2B5EF4-FFF2-40B4-BE49-F238E27FC236}">
              <a16:creationId xmlns:a16="http://schemas.microsoft.com/office/drawing/2014/main" id="{480688BB-6082-44DA-ACA0-AB64AD5A06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25" name="AutoShape 2">
          <a:extLst>
            <a:ext uri="{FF2B5EF4-FFF2-40B4-BE49-F238E27FC236}">
              <a16:creationId xmlns:a16="http://schemas.microsoft.com/office/drawing/2014/main" id="{7F684905-0978-4B2D-B22E-8693ECD3B04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26" name="AutoShape 2">
          <a:extLst>
            <a:ext uri="{FF2B5EF4-FFF2-40B4-BE49-F238E27FC236}">
              <a16:creationId xmlns:a16="http://schemas.microsoft.com/office/drawing/2014/main" id="{25B167F3-D0A9-423F-A468-E374F6E3C85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27" name="AutoShape 2">
          <a:extLst>
            <a:ext uri="{FF2B5EF4-FFF2-40B4-BE49-F238E27FC236}">
              <a16:creationId xmlns:a16="http://schemas.microsoft.com/office/drawing/2014/main" id="{98F2DF4E-D7D9-4FAD-9C7D-98116A88E20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28" name="AutoShape 2">
          <a:extLst>
            <a:ext uri="{FF2B5EF4-FFF2-40B4-BE49-F238E27FC236}">
              <a16:creationId xmlns:a16="http://schemas.microsoft.com/office/drawing/2014/main" id="{C76E8133-26EC-45B6-BF0F-27DB1D77295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29" name="AutoShape 2">
          <a:extLst>
            <a:ext uri="{FF2B5EF4-FFF2-40B4-BE49-F238E27FC236}">
              <a16:creationId xmlns:a16="http://schemas.microsoft.com/office/drawing/2014/main" id="{A71038AF-F56D-42D8-A743-48587728D3B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30" name="AutoShape 2">
          <a:extLst>
            <a:ext uri="{FF2B5EF4-FFF2-40B4-BE49-F238E27FC236}">
              <a16:creationId xmlns:a16="http://schemas.microsoft.com/office/drawing/2014/main" id="{302A5BF8-8033-4CE0-B96B-384B6205590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31" name="AutoShape 2">
          <a:extLst>
            <a:ext uri="{FF2B5EF4-FFF2-40B4-BE49-F238E27FC236}">
              <a16:creationId xmlns:a16="http://schemas.microsoft.com/office/drawing/2014/main" id="{A9AE90F3-AB43-4785-9A70-C4D3682EE21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32" name="AutoShape 2">
          <a:extLst>
            <a:ext uri="{FF2B5EF4-FFF2-40B4-BE49-F238E27FC236}">
              <a16:creationId xmlns:a16="http://schemas.microsoft.com/office/drawing/2014/main" id="{A3D87DD8-86EE-4780-B033-34CFE91669B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33" name="AutoShape 2">
          <a:extLst>
            <a:ext uri="{FF2B5EF4-FFF2-40B4-BE49-F238E27FC236}">
              <a16:creationId xmlns:a16="http://schemas.microsoft.com/office/drawing/2014/main" id="{446BA531-AE3D-488B-B644-81B57BB497A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34" name="AutoShape 2">
          <a:extLst>
            <a:ext uri="{FF2B5EF4-FFF2-40B4-BE49-F238E27FC236}">
              <a16:creationId xmlns:a16="http://schemas.microsoft.com/office/drawing/2014/main" id="{5F37BD49-EF50-4318-AA31-E5419FB975C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35" name="AutoShape 2">
          <a:extLst>
            <a:ext uri="{FF2B5EF4-FFF2-40B4-BE49-F238E27FC236}">
              <a16:creationId xmlns:a16="http://schemas.microsoft.com/office/drawing/2014/main" id="{AEE91B5D-D4B4-4390-BB95-4597D23EB83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36" name="AutoShape 2">
          <a:extLst>
            <a:ext uri="{FF2B5EF4-FFF2-40B4-BE49-F238E27FC236}">
              <a16:creationId xmlns:a16="http://schemas.microsoft.com/office/drawing/2014/main" id="{4F53DE06-85DB-4B55-8E9F-BA153BACE0D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37" name="AutoShape 2">
          <a:extLst>
            <a:ext uri="{FF2B5EF4-FFF2-40B4-BE49-F238E27FC236}">
              <a16:creationId xmlns:a16="http://schemas.microsoft.com/office/drawing/2014/main" id="{B8737F8B-1DD6-4F69-81B4-91515A25174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38" name="AutoShape 2">
          <a:extLst>
            <a:ext uri="{FF2B5EF4-FFF2-40B4-BE49-F238E27FC236}">
              <a16:creationId xmlns:a16="http://schemas.microsoft.com/office/drawing/2014/main" id="{207A2C49-31CF-417F-8A43-6C4E66CF75C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39" name="AutoShape 2">
          <a:extLst>
            <a:ext uri="{FF2B5EF4-FFF2-40B4-BE49-F238E27FC236}">
              <a16:creationId xmlns:a16="http://schemas.microsoft.com/office/drawing/2014/main" id="{1D2A05E8-C331-45E2-A44F-98ACFB61EA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40" name="AutoShape 2">
          <a:extLst>
            <a:ext uri="{FF2B5EF4-FFF2-40B4-BE49-F238E27FC236}">
              <a16:creationId xmlns:a16="http://schemas.microsoft.com/office/drawing/2014/main" id="{76E1A3A5-9573-472F-A31A-9808087DA18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41" name="AutoShape 2">
          <a:extLst>
            <a:ext uri="{FF2B5EF4-FFF2-40B4-BE49-F238E27FC236}">
              <a16:creationId xmlns:a16="http://schemas.microsoft.com/office/drawing/2014/main" id="{5E1EA18B-26A7-48ED-8844-AC33034EFA1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42" name="AutoShape 2">
          <a:extLst>
            <a:ext uri="{FF2B5EF4-FFF2-40B4-BE49-F238E27FC236}">
              <a16:creationId xmlns:a16="http://schemas.microsoft.com/office/drawing/2014/main" id="{3CFC8910-BA55-4B6F-88F3-6A86FE99275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43" name="AutoShape 2">
          <a:extLst>
            <a:ext uri="{FF2B5EF4-FFF2-40B4-BE49-F238E27FC236}">
              <a16:creationId xmlns:a16="http://schemas.microsoft.com/office/drawing/2014/main" id="{0082FDC1-A05A-47CA-B925-28D7EFE84FE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44" name="AutoShape 2">
          <a:extLst>
            <a:ext uri="{FF2B5EF4-FFF2-40B4-BE49-F238E27FC236}">
              <a16:creationId xmlns:a16="http://schemas.microsoft.com/office/drawing/2014/main" id="{44D2827D-C9E4-438F-A2BC-20C04A7DAA1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45" name="AutoShape 2">
          <a:extLst>
            <a:ext uri="{FF2B5EF4-FFF2-40B4-BE49-F238E27FC236}">
              <a16:creationId xmlns:a16="http://schemas.microsoft.com/office/drawing/2014/main" id="{0C82CE49-CBC1-46DF-AC21-5C2D5A5FD29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46" name="AutoShape 2">
          <a:extLst>
            <a:ext uri="{FF2B5EF4-FFF2-40B4-BE49-F238E27FC236}">
              <a16:creationId xmlns:a16="http://schemas.microsoft.com/office/drawing/2014/main" id="{B3AED324-07B5-4DA8-9F34-8825F55068C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47" name="AutoShape 2">
          <a:extLst>
            <a:ext uri="{FF2B5EF4-FFF2-40B4-BE49-F238E27FC236}">
              <a16:creationId xmlns:a16="http://schemas.microsoft.com/office/drawing/2014/main" id="{28DBB188-E8C4-4D71-B769-A80AE54781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48" name="AutoShape 2">
          <a:extLst>
            <a:ext uri="{FF2B5EF4-FFF2-40B4-BE49-F238E27FC236}">
              <a16:creationId xmlns:a16="http://schemas.microsoft.com/office/drawing/2014/main" id="{535669FB-8097-420D-8DB9-86A303381EF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49" name="AutoShape 2">
          <a:extLst>
            <a:ext uri="{FF2B5EF4-FFF2-40B4-BE49-F238E27FC236}">
              <a16:creationId xmlns:a16="http://schemas.microsoft.com/office/drawing/2014/main" id="{F09C9B86-113B-411C-9B8A-E8A12E43FF6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50" name="AutoShape 2">
          <a:extLst>
            <a:ext uri="{FF2B5EF4-FFF2-40B4-BE49-F238E27FC236}">
              <a16:creationId xmlns:a16="http://schemas.microsoft.com/office/drawing/2014/main" id="{DA75943A-7EA3-48DA-BF86-858F1FCD137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51" name="AutoShape 2">
          <a:extLst>
            <a:ext uri="{FF2B5EF4-FFF2-40B4-BE49-F238E27FC236}">
              <a16:creationId xmlns:a16="http://schemas.microsoft.com/office/drawing/2014/main" id="{6F33E3BA-7440-4182-ABBC-04EDD239608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52" name="AutoShape 2">
          <a:extLst>
            <a:ext uri="{FF2B5EF4-FFF2-40B4-BE49-F238E27FC236}">
              <a16:creationId xmlns:a16="http://schemas.microsoft.com/office/drawing/2014/main" id="{87056BF2-DC1E-4D19-8869-1A93433358B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53" name="AutoShape 2">
          <a:extLst>
            <a:ext uri="{FF2B5EF4-FFF2-40B4-BE49-F238E27FC236}">
              <a16:creationId xmlns:a16="http://schemas.microsoft.com/office/drawing/2014/main" id="{9E35471F-557F-45D4-99EA-4F8EF2ACDF2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54" name="AutoShape 2">
          <a:extLst>
            <a:ext uri="{FF2B5EF4-FFF2-40B4-BE49-F238E27FC236}">
              <a16:creationId xmlns:a16="http://schemas.microsoft.com/office/drawing/2014/main" id="{ABAD7307-C739-45EF-A759-6ADFBCD0B89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55" name="AutoShape 2">
          <a:extLst>
            <a:ext uri="{FF2B5EF4-FFF2-40B4-BE49-F238E27FC236}">
              <a16:creationId xmlns:a16="http://schemas.microsoft.com/office/drawing/2014/main" id="{4820F6A7-FA7B-47F4-8076-D65C823BA3D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56" name="AutoShape 2">
          <a:extLst>
            <a:ext uri="{FF2B5EF4-FFF2-40B4-BE49-F238E27FC236}">
              <a16:creationId xmlns:a16="http://schemas.microsoft.com/office/drawing/2014/main" id="{F2B20DE6-C3F5-4903-9C1B-9552C1D2BFB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57" name="AutoShape 2">
          <a:extLst>
            <a:ext uri="{FF2B5EF4-FFF2-40B4-BE49-F238E27FC236}">
              <a16:creationId xmlns:a16="http://schemas.microsoft.com/office/drawing/2014/main" id="{4270B8DB-6E92-4C13-8314-ABF0BFFE053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58" name="AutoShape 2">
          <a:extLst>
            <a:ext uri="{FF2B5EF4-FFF2-40B4-BE49-F238E27FC236}">
              <a16:creationId xmlns:a16="http://schemas.microsoft.com/office/drawing/2014/main" id="{7BBCA6FB-26EA-43F8-8A37-A2C761BCE8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4098" name="Text Box 2" hidden="1">
          <a:extLst>
            <a:ext uri="{FF2B5EF4-FFF2-40B4-BE49-F238E27FC236}">
              <a16:creationId xmlns:a16="http://schemas.microsoft.com/office/drawing/2014/main" id="{CB61747B-EB38-C236-3D32-D9F22F5D964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292947F2-EC5A-65CF-91A0-FE95BF02DC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A98390C9-63E5-AA3D-FEC9-2514EED854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5E7644C3-5E3C-5AA9-20E9-46C9DD342E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8B9EEEE1-4E00-C851-EFE0-BEBA245C33B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2FFE15BE-34BB-38EA-4FE9-7BD54A99E4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A89B6053-50EF-A463-72F6-F39520EBD91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33418E64-BB26-CE83-11CA-35E9C0C4E37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F5F7F1B9-96E6-AFFE-D1EC-C7313E86B7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5FA5C060-21C7-E0B9-1A9D-81666CCEF8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1F6C3A92-98C9-F1D4-B618-62C8A12668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0A193511-CF8F-DEFA-7768-C1B74D973D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E594FCD-16E7-9E1E-7F4B-043231287F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9DEBE249-3F8B-C77A-F0F2-EE7A39B22E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8744CD0-DECB-5496-E688-F9E2184898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3532B5E3-1D86-F1A4-BCC1-41CCA55070E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2BE04E37-1E8F-47D8-AF84-90572DF145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9D0D81E2-4AD6-0897-7D87-C1A5E12E536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6DE0DFA3-1D92-4A5F-4A2C-95E8F2FA95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0A40D4C5-45C6-68B2-1CB8-19F601549B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B9DB76EB-06F6-8FFE-10E3-3A83CC6BDE5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9E5917AC-0627-A4F4-0B46-9D8B279A392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772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0F420B5A-0603-4CD3-95E4-5D35A793BF3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F3DC5749-4B83-4E2B-9F23-746FD1EC68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ECFD2A24-133E-4C2B-9BBA-27E760742CD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107D17B4-2EF2-41E5-84EA-5A657F7295A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DB68171F-A948-4563-A806-75D4A61EDA1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539968CD-37BA-4751-A6BF-89CA99CDFD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F7E365D8-979D-4C17-BF42-F0E19B4A3E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BC8C9983-A9DC-49A7-8862-4A0E99D7242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15533910-09B8-49B0-A70D-FACE8C70A4F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4EF41D93-FAAE-4263-BC07-AC87C895A5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B622689A-2F66-4602-A0C6-24F582205CA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9DA2AAAD-656D-42FA-BCEB-C91CDF564DD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1B165BBF-A34C-4296-8808-24EB010818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62188865-2BB4-4B6D-92EE-52C42AFBF57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53B6171A-6DDA-457E-B189-A501B2FCB9A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5DE33EAC-F437-4DE5-A5C8-1681953B32D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A7546AF6-9053-447D-ADD0-A70B6D388B4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23E85454-1D90-4D9E-B634-113C827B541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57C1FBDC-D91E-4193-9D2F-2F8A0EE64C8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FF6F3510-877B-49D2-B820-86AB13213D3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B9D41BF7-E43C-48B4-A156-9BA06FB5D7B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394AC0E2-C025-479A-A075-4845AABBA7C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1CAF1794-8C8F-4F10-8B46-E92EB4CC3C4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6" name="AutoShape 2">
          <a:extLst>
            <a:ext uri="{FF2B5EF4-FFF2-40B4-BE49-F238E27FC236}">
              <a16:creationId xmlns:a16="http://schemas.microsoft.com/office/drawing/2014/main" id="{6DED18B0-831B-41DE-89A1-20F98AB9D44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315F09EF-A599-4E3A-9739-10EB2C7F7F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8" name="AutoShape 2">
          <a:extLst>
            <a:ext uri="{FF2B5EF4-FFF2-40B4-BE49-F238E27FC236}">
              <a16:creationId xmlns:a16="http://schemas.microsoft.com/office/drawing/2014/main" id="{C57D8615-8E1F-4A7F-B955-7810DA7DE43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id="{E5462144-ED75-4BAD-A2A9-D7EF8D04AEA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50" name="AutoShape 2">
          <a:extLst>
            <a:ext uri="{FF2B5EF4-FFF2-40B4-BE49-F238E27FC236}">
              <a16:creationId xmlns:a16="http://schemas.microsoft.com/office/drawing/2014/main" id="{6F1A855C-72C0-41CF-8287-849821C366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F3C12A84-91BC-4890-ABF9-EBFA7EFD70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52" name="AutoShape 2">
          <a:extLst>
            <a:ext uri="{FF2B5EF4-FFF2-40B4-BE49-F238E27FC236}">
              <a16:creationId xmlns:a16="http://schemas.microsoft.com/office/drawing/2014/main" id="{2045A30D-574E-4F8C-A496-7B2E07DA855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id="{DC0DA1AE-A052-44DB-8EDA-A08FE45AAEB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54" name="AutoShape 2">
          <a:extLst>
            <a:ext uri="{FF2B5EF4-FFF2-40B4-BE49-F238E27FC236}">
              <a16:creationId xmlns:a16="http://schemas.microsoft.com/office/drawing/2014/main" id="{A2B46C0B-612A-46C5-9937-BC67DB3C426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4A19468C-7FAA-4CA5-9E61-F1B755C9FA0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56" name="AutoShape 2">
          <a:extLst>
            <a:ext uri="{FF2B5EF4-FFF2-40B4-BE49-F238E27FC236}">
              <a16:creationId xmlns:a16="http://schemas.microsoft.com/office/drawing/2014/main" id="{3043D81A-23D6-4E4F-A310-408C00A848A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101F342F-D23E-4019-B855-2A754DF942A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58" name="AutoShape 2">
          <a:extLst>
            <a:ext uri="{FF2B5EF4-FFF2-40B4-BE49-F238E27FC236}">
              <a16:creationId xmlns:a16="http://schemas.microsoft.com/office/drawing/2014/main" id="{63066C80-0340-475D-88E7-8D3FB9499C8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396E3C68-17D8-49A3-AABD-82F6E2768E6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60" name="AutoShape 2">
          <a:extLst>
            <a:ext uri="{FF2B5EF4-FFF2-40B4-BE49-F238E27FC236}">
              <a16:creationId xmlns:a16="http://schemas.microsoft.com/office/drawing/2014/main" id="{030E46B0-BDE8-4664-A557-4761AB22BC9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61" name="AutoShape 2">
          <a:extLst>
            <a:ext uri="{FF2B5EF4-FFF2-40B4-BE49-F238E27FC236}">
              <a16:creationId xmlns:a16="http://schemas.microsoft.com/office/drawing/2014/main" id="{21BFC9ED-4A4E-4F24-8D3A-74252C9D923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62" name="AutoShape 2">
          <a:extLst>
            <a:ext uri="{FF2B5EF4-FFF2-40B4-BE49-F238E27FC236}">
              <a16:creationId xmlns:a16="http://schemas.microsoft.com/office/drawing/2014/main" id="{BDE4215E-99C3-4971-87C6-44239A5855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946443FF-5950-4992-A39D-02A65CDF24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096" name="AutoShape 2">
          <a:extLst>
            <a:ext uri="{FF2B5EF4-FFF2-40B4-BE49-F238E27FC236}">
              <a16:creationId xmlns:a16="http://schemas.microsoft.com/office/drawing/2014/main" id="{5CE993A5-F3AC-475F-AAD9-BE2B3F80C9D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097" name="AutoShape 2">
          <a:extLst>
            <a:ext uri="{FF2B5EF4-FFF2-40B4-BE49-F238E27FC236}">
              <a16:creationId xmlns:a16="http://schemas.microsoft.com/office/drawing/2014/main" id="{75419CE3-9D00-4BF6-A401-BAC30A20C42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099" name="AutoShape 2">
          <a:extLst>
            <a:ext uri="{FF2B5EF4-FFF2-40B4-BE49-F238E27FC236}">
              <a16:creationId xmlns:a16="http://schemas.microsoft.com/office/drawing/2014/main" id="{C9DAB5C3-64DE-4586-9F85-6FFE7332122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00" name="AutoShape 2">
          <a:extLst>
            <a:ext uri="{FF2B5EF4-FFF2-40B4-BE49-F238E27FC236}">
              <a16:creationId xmlns:a16="http://schemas.microsoft.com/office/drawing/2014/main" id="{F1DD0D55-7396-4A5D-9E1F-334F46D4E0E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01" name="AutoShape 2">
          <a:extLst>
            <a:ext uri="{FF2B5EF4-FFF2-40B4-BE49-F238E27FC236}">
              <a16:creationId xmlns:a16="http://schemas.microsoft.com/office/drawing/2014/main" id="{5C3630D0-5DEB-47E6-AB66-A9D9779836C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02" name="AutoShape 2">
          <a:extLst>
            <a:ext uri="{FF2B5EF4-FFF2-40B4-BE49-F238E27FC236}">
              <a16:creationId xmlns:a16="http://schemas.microsoft.com/office/drawing/2014/main" id="{D79F0EA5-6AF8-4771-B999-6096822856E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03" name="AutoShape 2">
          <a:extLst>
            <a:ext uri="{FF2B5EF4-FFF2-40B4-BE49-F238E27FC236}">
              <a16:creationId xmlns:a16="http://schemas.microsoft.com/office/drawing/2014/main" id="{B62EB3A5-3DDC-4C8E-B3C2-FC42F761051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04" name="AutoShape 2">
          <a:extLst>
            <a:ext uri="{FF2B5EF4-FFF2-40B4-BE49-F238E27FC236}">
              <a16:creationId xmlns:a16="http://schemas.microsoft.com/office/drawing/2014/main" id="{BDF607B1-BDA5-41FA-A082-435D26B03BF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05" name="AutoShape 2">
          <a:extLst>
            <a:ext uri="{FF2B5EF4-FFF2-40B4-BE49-F238E27FC236}">
              <a16:creationId xmlns:a16="http://schemas.microsoft.com/office/drawing/2014/main" id="{4BC56908-48EE-4804-867E-11D131B836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06" name="AutoShape 2">
          <a:extLst>
            <a:ext uri="{FF2B5EF4-FFF2-40B4-BE49-F238E27FC236}">
              <a16:creationId xmlns:a16="http://schemas.microsoft.com/office/drawing/2014/main" id="{E7123426-41CA-421A-A842-F7E17FD963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07" name="AutoShape 2">
          <a:extLst>
            <a:ext uri="{FF2B5EF4-FFF2-40B4-BE49-F238E27FC236}">
              <a16:creationId xmlns:a16="http://schemas.microsoft.com/office/drawing/2014/main" id="{7DB97B68-421A-4D50-A3C0-5C4B706649B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08" name="AutoShape 2">
          <a:extLst>
            <a:ext uri="{FF2B5EF4-FFF2-40B4-BE49-F238E27FC236}">
              <a16:creationId xmlns:a16="http://schemas.microsoft.com/office/drawing/2014/main" id="{4B707705-8628-4BE6-B53C-944B97304E7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09" name="AutoShape 2">
          <a:extLst>
            <a:ext uri="{FF2B5EF4-FFF2-40B4-BE49-F238E27FC236}">
              <a16:creationId xmlns:a16="http://schemas.microsoft.com/office/drawing/2014/main" id="{E676B673-9C35-48D9-A490-4D3B8D6DAFB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10" name="AutoShape 2">
          <a:extLst>
            <a:ext uri="{FF2B5EF4-FFF2-40B4-BE49-F238E27FC236}">
              <a16:creationId xmlns:a16="http://schemas.microsoft.com/office/drawing/2014/main" id="{4C47040D-169D-4F07-97D2-4DB1D42F6B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11" name="AutoShape 2">
          <a:extLst>
            <a:ext uri="{FF2B5EF4-FFF2-40B4-BE49-F238E27FC236}">
              <a16:creationId xmlns:a16="http://schemas.microsoft.com/office/drawing/2014/main" id="{402BDBC7-6B86-4028-A177-866DD4692DF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12" name="AutoShape 2">
          <a:extLst>
            <a:ext uri="{FF2B5EF4-FFF2-40B4-BE49-F238E27FC236}">
              <a16:creationId xmlns:a16="http://schemas.microsoft.com/office/drawing/2014/main" id="{BCCD4E19-272C-4826-AE15-1C6B4F9CA20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13" name="AutoShape 2">
          <a:extLst>
            <a:ext uri="{FF2B5EF4-FFF2-40B4-BE49-F238E27FC236}">
              <a16:creationId xmlns:a16="http://schemas.microsoft.com/office/drawing/2014/main" id="{1A401AB4-719E-4C8A-9068-80F503DFDE8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14" name="AutoShape 2">
          <a:extLst>
            <a:ext uri="{FF2B5EF4-FFF2-40B4-BE49-F238E27FC236}">
              <a16:creationId xmlns:a16="http://schemas.microsoft.com/office/drawing/2014/main" id="{A7B45561-C517-4DDB-B575-A93E23DEB38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15" name="AutoShape 2">
          <a:extLst>
            <a:ext uri="{FF2B5EF4-FFF2-40B4-BE49-F238E27FC236}">
              <a16:creationId xmlns:a16="http://schemas.microsoft.com/office/drawing/2014/main" id="{0942E4A9-2B99-4D09-B2AD-09088AAC330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16" name="AutoShape 2">
          <a:extLst>
            <a:ext uri="{FF2B5EF4-FFF2-40B4-BE49-F238E27FC236}">
              <a16:creationId xmlns:a16="http://schemas.microsoft.com/office/drawing/2014/main" id="{5FD8EBB4-8826-482F-8659-3B1AE0E711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17" name="AutoShape 2">
          <a:extLst>
            <a:ext uri="{FF2B5EF4-FFF2-40B4-BE49-F238E27FC236}">
              <a16:creationId xmlns:a16="http://schemas.microsoft.com/office/drawing/2014/main" id="{672187D5-5DF1-4928-AF3C-C04CB5A5CE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18" name="AutoShape 2">
          <a:extLst>
            <a:ext uri="{FF2B5EF4-FFF2-40B4-BE49-F238E27FC236}">
              <a16:creationId xmlns:a16="http://schemas.microsoft.com/office/drawing/2014/main" id="{D8D0A07D-9239-4499-AD15-434D1844392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19" name="AutoShape 2">
          <a:extLst>
            <a:ext uri="{FF2B5EF4-FFF2-40B4-BE49-F238E27FC236}">
              <a16:creationId xmlns:a16="http://schemas.microsoft.com/office/drawing/2014/main" id="{14F80871-2A98-4793-BAAB-B7599318D42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20" name="AutoShape 2">
          <a:extLst>
            <a:ext uri="{FF2B5EF4-FFF2-40B4-BE49-F238E27FC236}">
              <a16:creationId xmlns:a16="http://schemas.microsoft.com/office/drawing/2014/main" id="{1D8398FC-E850-482F-B9F5-D2D13DA7BC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21" name="AutoShape 2">
          <a:extLst>
            <a:ext uri="{FF2B5EF4-FFF2-40B4-BE49-F238E27FC236}">
              <a16:creationId xmlns:a16="http://schemas.microsoft.com/office/drawing/2014/main" id="{CAA9856D-CE41-4812-A0C3-994643C5F4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22" name="AutoShape 2">
          <a:extLst>
            <a:ext uri="{FF2B5EF4-FFF2-40B4-BE49-F238E27FC236}">
              <a16:creationId xmlns:a16="http://schemas.microsoft.com/office/drawing/2014/main" id="{B7B6F335-EB53-4685-8B9D-BBE43F37A28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23" name="AutoShape 2">
          <a:extLst>
            <a:ext uri="{FF2B5EF4-FFF2-40B4-BE49-F238E27FC236}">
              <a16:creationId xmlns:a16="http://schemas.microsoft.com/office/drawing/2014/main" id="{54D8EEF7-D305-4376-B9CB-77FF1A6B06C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24" name="AutoShape 2">
          <a:extLst>
            <a:ext uri="{FF2B5EF4-FFF2-40B4-BE49-F238E27FC236}">
              <a16:creationId xmlns:a16="http://schemas.microsoft.com/office/drawing/2014/main" id="{1D8AF37F-CDB0-47E6-9AB5-917952614AF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25" name="AutoShape 2">
          <a:extLst>
            <a:ext uri="{FF2B5EF4-FFF2-40B4-BE49-F238E27FC236}">
              <a16:creationId xmlns:a16="http://schemas.microsoft.com/office/drawing/2014/main" id="{547AF24B-F8A1-4FCB-BE5E-523C15132E4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26" name="AutoShape 2">
          <a:extLst>
            <a:ext uri="{FF2B5EF4-FFF2-40B4-BE49-F238E27FC236}">
              <a16:creationId xmlns:a16="http://schemas.microsoft.com/office/drawing/2014/main" id="{82BB7885-622D-45F0-8EEE-43F4FFF50D4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27" name="AutoShape 2">
          <a:extLst>
            <a:ext uri="{FF2B5EF4-FFF2-40B4-BE49-F238E27FC236}">
              <a16:creationId xmlns:a16="http://schemas.microsoft.com/office/drawing/2014/main" id="{B34315D8-229F-4B74-B954-AAF38317532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28" name="AutoShape 2">
          <a:extLst>
            <a:ext uri="{FF2B5EF4-FFF2-40B4-BE49-F238E27FC236}">
              <a16:creationId xmlns:a16="http://schemas.microsoft.com/office/drawing/2014/main" id="{7B62D7BA-EC69-472A-BB63-A93DF084503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29" name="AutoShape 2">
          <a:extLst>
            <a:ext uri="{FF2B5EF4-FFF2-40B4-BE49-F238E27FC236}">
              <a16:creationId xmlns:a16="http://schemas.microsoft.com/office/drawing/2014/main" id="{5F9581E1-E6C8-4632-8148-7B35B960925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30" name="AutoShape 2">
          <a:extLst>
            <a:ext uri="{FF2B5EF4-FFF2-40B4-BE49-F238E27FC236}">
              <a16:creationId xmlns:a16="http://schemas.microsoft.com/office/drawing/2014/main" id="{B1F88261-FFF6-4A4E-A560-1B1B8A16DCE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31" name="AutoShape 2">
          <a:extLst>
            <a:ext uri="{FF2B5EF4-FFF2-40B4-BE49-F238E27FC236}">
              <a16:creationId xmlns:a16="http://schemas.microsoft.com/office/drawing/2014/main" id="{190CDE75-AC91-4606-A842-E0A9CAF022A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32" name="AutoShape 2">
          <a:extLst>
            <a:ext uri="{FF2B5EF4-FFF2-40B4-BE49-F238E27FC236}">
              <a16:creationId xmlns:a16="http://schemas.microsoft.com/office/drawing/2014/main" id="{E2D2D527-E6E5-412E-88AC-42CEACA422B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33" name="AutoShape 2">
          <a:extLst>
            <a:ext uri="{FF2B5EF4-FFF2-40B4-BE49-F238E27FC236}">
              <a16:creationId xmlns:a16="http://schemas.microsoft.com/office/drawing/2014/main" id="{84DA8D66-7F2F-4D39-9348-0B74E729FB4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34" name="AutoShape 2">
          <a:extLst>
            <a:ext uri="{FF2B5EF4-FFF2-40B4-BE49-F238E27FC236}">
              <a16:creationId xmlns:a16="http://schemas.microsoft.com/office/drawing/2014/main" id="{CF1B07D8-5F21-41F8-B7BB-7FEB9E3559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35" name="AutoShape 2">
          <a:extLst>
            <a:ext uri="{FF2B5EF4-FFF2-40B4-BE49-F238E27FC236}">
              <a16:creationId xmlns:a16="http://schemas.microsoft.com/office/drawing/2014/main" id="{084DC34B-5046-4BC3-BDB5-C0662B94521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36" name="AutoShape 2">
          <a:extLst>
            <a:ext uri="{FF2B5EF4-FFF2-40B4-BE49-F238E27FC236}">
              <a16:creationId xmlns:a16="http://schemas.microsoft.com/office/drawing/2014/main" id="{6AE487C9-09D0-45D6-ACDE-A149ED2D0B7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37" name="AutoShape 2">
          <a:extLst>
            <a:ext uri="{FF2B5EF4-FFF2-40B4-BE49-F238E27FC236}">
              <a16:creationId xmlns:a16="http://schemas.microsoft.com/office/drawing/2014/main" id="{4DA7EA2A-0176-4A1E-95BA-6D1420F00F9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38" name="AutoShape 2">
          <a:extLst>
            <a:ext uri="{FF2B5EF4-FFF2-40B4-BE49-F238E27FC236}">
              <a16:creationId xmlns:a16="http://schemas.microsoft.com/office/drawing/2014/main" id="{F4C01DA6-8222-4750-8610-F59B73B66FB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39" name="AutoShape 2">
          <a:extLst>
            <a:ext uri="{FF2B5EF4-FFF2-40B4-BE49-F238E27FC236}">
              <a16:creationId xmlns:a16="http://schemas.microsoft.com/office/drawing/2014/main" id="{8FAEA03D-6367-4633-A71F-08A815D769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40" name="AutoShape 2">
          <a:extLst>
            <a:ext uri="{FF2B5EF4-FFF2-40B4-BE49-F238E27FC236}">
              <a16:creationId xmlns:a16="http://schemas.microsoft.com/office/drawing/2014/main" id="{48E794CD-7942-4ED2-AC06-44F516ECCD0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41" name="AutoShape 2">
          <a:extLst>
            <a:ext uri="{FF2B5EF4-FFF2-40B4-BE49-F238E27FC236}">
              <a16:creationId xmlns:a16="http://schemas.microsoft.com/office/drawing/2014/main" id="{5D1FDA68-E37D-4C4E-AC4F-9402D6A1AF3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42" name="AutoShape 2">
          <a:extLst>
            <a:ext uri="{FF2B5EF4-FFF2-40B4-BE49-F238E27FC236}">
              <a16:creationId xmlns:a16="http://schemas.microsoft.com/office/drawing/2014/main" id="{133D0D72-75A9-4B1C-8313-C61AC745D70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43" name="AutoShape 2">
          <a:extLst>
            <a:ext uri="{FF2B5EF4-FFF2-40B4-BE49-F238E27FC236}">
              <a16:creationId xmlns:a16="http://schemas.microsoft.com/office/drawing/2014/main" id="{E082D01B-557B-46BA-84E4-7CD2FE5D21A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44" name="AutoShape 2">
          <a:extLst>
            <a:ext uri="{FF2B5EF4-FFF2-40B4-BE49-F238E27FC236}">
              <a16:creationId xmlns:a16="http://schemas.microsoft.com/office/drawing/2014/main" id="{AAA02273-4C13-4410-9C9F-190EF4261D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45" name="AutoShape 2">
          <a:extLst>
            <a:ext uri="{FF2B5EF4-FFF2-40B4-BE49-F238E27FC236}">
              <a16:creationId xmlns:a16="http://schemas.microsoft.com/office/drawing/2014/main" id="{A83F9B80-DE7B-45CC-A7C3-1B4D846095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46" name="AutoShape 2">
          <a:extLst>
            <a:ext uri="{FF2B5EF4-FFF2-40B4-BE49-F238E27FC236}">
              <a16:creationId xmlns:a16="http://schemas.microsoft.com/office/drawing/2014/main" id="{47A7C07F-2B80-4FB1-ADEF-18FB1309C7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47" name="AutoShape 2">
          <a:extLst>
            <a:ext uri="{FF2B5EF4-FFF2-40B4-BE49-F238E27FC236}">
              <a16:creationId xmlns:a16="http://schemas.microsoft.com/office/drawing/2014/main" id="{73C1D87C-41D7-49C3-A3B8-E341608AE09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48" name="AutoShape 2">
          <a:extLst>
            <a:ext uri="{FF2B5EF4-FFF2-40B4-BE49-F238E27FC236}">
              <a16:creationId xmlns:a16="http://schemas.microsoft.com/office/drawing/2014/main" id="{C1125AD5-81F5-4926-BD72-6ED7AAD9AAA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49" name="AutoShape 2">
          <a:extLst>
            <a:ext uri="{FF2B5EF4-FFF2-40B4-BE49-F238E27FC236}">
              <a16:creationId xmlns:a16="http://schemas.microsoft.com/office/drawing/2014/main" id="{E218A112-E68B-4D0F-B942-100EC1DEAB0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50" name="AutoShape 2">
          <a:extLst>
            <a:ext uri="{FF2B5EF4-FFF2-40B4-BE49-F238E27FC236}">
              <a16:creationId xmlns:a16="http://schemas.microsoft.com/office/drawing/2014/main" id="{7A84144C-8EF5-4CA5-9B89-D3725E31D5D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51" name="AutoShape 2">
          <a:extLst>
            <a:ext uri="{FF2B5EF4-FFF2-40B4-BE49-F238E27FC236}">
              <a16:creationId xmlns:a16="http://schemas.microsoft.com/office/drawing/2014/main" id="{782F948B-38C9-4204-BD20-C4A971B33A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52" name="AutoShape 2">
          <a:extLst>
            <a:ext uri="{FF2B5EF4-FFF2-40B4-BE49-F238E27FC236}">
              <a16:creationId xmlns:a16="http://schemas.microsoft.com/office/drawing/2014/main" id="{504CD576-F433-40F5-A0E1-8C2AFED6986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53" name="AutoShape 2">
          <a:extLst>
            <a:ext uri="{FF2B5EF4-FFF2-40B4-BE49-F238E27FC236}">
              <a16:creationId xmlns:a16="http://schemas.microsoft.com/office/drawing/2014/main" id="{32360FD2-C25E-4127-A2EF-5428388A38F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54" name="AutoShape 2">
          <a:extLst>
            <a:ext uri="{FF2B5EF4-FFF2-40B4-BE49-F238E27FC236}">
              <a16:creationId xmlns:a16="http://schemas.microsoft.com/office/drawing/2014/main" id="{B307754A-E30C-4C32-8CD2-84735D39F0B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55" name="AutoShape 2">
          <a:extLst>
            <a:ext uri="{FF2B5EF4-FFF2-40B4-BE49-F238E27FC236}">
              <a16:creationId xmlns:a16="http://schemas.microsoft.com/office/drawing/2014/main" id="{21717BFB-16D5-4850-92A0-F9E065ADB66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56" name="AutoShape 2">
          <a:extLst>
            <a:ext uri="{FF2B5EF4-FFF2-40B4-BE49-F238E27FC236}">
              <a16:creationId xmlns:a16="http://schemas.microsoft.com/office/drawing/2014/main" id="{5803A019-25A2-4F9A-8F98-8579332ABB1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57" name="AutoShape 2">
          <a:extLst>
            <a:ext uri="{FF2B5EF4-FFF2-40B4-BE49-F238E27FC236}">
              <a16:creationId xmlns:a16="http://schemas.microsoft.com/office/drawing/2014/main" id="{99089B7F-39B8-434A-8463-0988F6461E3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58" name="AutoShape 2">
          <a:extLst>
            <a:ext uri="{FF2B5EF4-FFF2-40B4-BE49-F238E27FC236}">
              <a16:creationId xmlns:a16="http://schemas.microsoft.com/office/drawing/2014/main" id="{A7717E2E-C9E0-439B-AA82-662568DB98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59" name="AutoShape 2">
          <a:extLst>
            <a:ext uri="{FF2B5EF4-FFF2-40B4-BE49-F238E27FC236}">
              <a16:creationId xmlns:a16="http://schemas.microsoft.com/office/drawing/2014/main" id="{FEEB9E3E-0DB2-4C62-A120-BB18C8CBD4F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60" name="AutoShape 2">
          <a:extLst>
            <a:ext uri="{FF2B5EF4-FFF2-40B4-BE49-F238E27FC236}">
              <a16:creationId xmlns:a16="http://schemas.microsoft.com/office/drawing/2014/main" id="{5A65CED3-3851-472B-81F3-9F485BD000C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61" name="AutoShape 2">
          <a:extLst>
            <a:ext uri="{FF2B5EF4-FFF2-40B4-BE49-F238E27FC236}">
              <a16:creationId xmlns:a16="http://schemas.microsoft.com/office/drawing/2014/main" id="{52077BD8-80A9-4B6B-A418-E63A093A13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62" name="AutoShape 2">
          <a:extLst>
            <a:ext uri="{FF2B5EF4-FFF2-40B4-BE49-F238E27FC236}">
              <a16:creationId xmlns:a16="http://schemas.microsoft.com/office/drawing/2014/main" id="{A72A0953-8379-4886-BAC6-6E35B9DAB25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63" name="AutoShape 2">
          <a:extLst>
            <a:ext uri="{FF2B5EF4-FFF2-40B4-BE49-F238E27FC236}">
              <a16:creationId xmlns:a16="http://schemas.microsoft.com/office/drawing/2014/main" id="{5DED2F7A-FFBB-47AB-B2DC-960084ACAA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64" name="AutoShape 2">
          <a:extLst>
            <a:ext uri="{FF2B5EF4-FFF2-40B4-BE49-F238E27FC236}">
              <a16:creationId xmlns:a16="http://schemas.microsoft.com/office/drawing/2014/main" id="{70CBAEA6-BA51-46A9-A78B-3521E7FF47E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65" name="AutoShape 2">
          <a:extLst>
            <a:ext uri="{FF2B5EF4-FFF2-40B4-BE49-F238E27FC236}">
              <a16:creationId xmlns:a16="http://schemas.microsoft.com/office/drawing/2014/main" id="{A8DA0F28-343D-453B-90E6-0C4E091CB68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66" name="AutoShape 2">
          <a:extLst>
            <a:ext uri="{FF2B5EF4-FFF2-40B4-BE49-F238E27FC236}">
              <a16:creationId xmlns:a16="http://schemas.microsoft.com/office/drawing/2014/main" id="{5BF9EDE7-3852-43F2-AC88-65A7AF8DAAE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67" name="AutoShape 2">
          <a:extLst>
            <a:ext uri="{FF2B5EF4-FFF2-40B4-BE49-F238E27FC236}">
              <a16:creationId xmlns:a16="http://schemas.microsoft.com/office/drawing/2014/main" id="{9C6F5D0E-6FF9-480C-8A81-C3B509A7795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68" name="AutoShape 2">
          <a:extLst>
            <a:ext uri="{FF2B5EF4-FFF2-40B4-BE49-F238E27FC236}">
              <a16:creationId xmlns:a16="http://schemas.microsoft.com/office/drawing/2014/main" id="{24EFADEE-45B3-4A76-B4CB-4D9F8C87E72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69" name="AutoShape 2">
          <a:extLst>
            <a:ext uri="{FF2B5EF4-FFF2-40B4-BE49-F238E27FC236}">
              <a16:creationId xmlns:a16="http://schemas.microsoft.com/office/drawing/2014/main" id="{1A3EDD6B-B886-48D1-8FEE-FCAD8438C33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70" name="AutoShape 2">
          <a:extLst>
            <a:ext uri="{FF2B5EF4-FFF2-40B4-BE49-F238E27FC236}">
              <a16:creationId xmlns:a16="http://schemas.microsoft.com/office/drawing/2014/main" id="{ABD86154-CE05-494B-A498-369CFDC5352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71" name="AutoShape 2">
          <a:extLst>
            <a:ext uri="{FF2B5EF4-FFF2-40B4-BE49-F238E27FC236}">
              <a16:creationId xmlns:a16="http://schemas.microsoft.com/office/drawing/2014/main" id="{9A3A03F3-A9AE-45A1-B2C1-BCD79F5A9B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72" name="AutoShape 2">
          <a:extLst>
            <a:ext uri="{FF2B5EF4-FFF2-40B4-BE49-F238E27FC236}">
              <a16:creationId xmlns:a16="http://schemas.microsoft.com/office/drawing/2014/main" id="{9255A9AF-8B23-493B-BA27-83F38648691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73" name="AutoShape 2">
          <a:extLst>
            <a:ext uri="{FF2B5EF4-FFF2-40B4-BE49-F238E27FC236}">
              <a16:creationId xmlns:a16="http://schemas.microsoft.com/office/drawing/2014/main" id="{0360FE87-72E2-48F9-8666-7EE20861679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74" name="AutoShape 2">
          <a:extLst>
            <a:ext uri="{FF2B5EF4-FFF2-40B4-BE49-F238E27FC236}">
              <a16:creationId xmlns:a16="http://schemas.microsoft.com/office/drawing/2014/main" id="{F9407B35-2B04-4FAD-9D8A-11FF1EE5742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75" name="AutoShape 2">
          <a:extLst>
            <a:ext uri="{FF2B5EF4-FFF2-40B4-BE49-F238E27FC236}">
              <a16:creationId xmlns:a16="http://schemas.microsoft.com/office/drawing/2014/main" id="{D6A796C1-BD5F-4669-AA72-570087086ED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76" name="AutoShape 2">
          <a:extLst>
            <a:ext uri="{FF2B5EF4-FFF2-40B4-BE49-F238E27FC236}">
              <a16:creationId xmlns:a16="http://schemas.microsoft.com/office/drawing/2014/main" id="{0B239934-89B8-4A87-A9F2-C6283DAC05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77" name="AutoShape 2">
          <a:extLst>
            <a:ext uri="{FF2B5EF4-FFF2-40B4-BE49-F238E27FC236}">
              <a16:creationId xmlns:a16="http://schemas.microsoft.com/office/drawing/2014/main" id="{92DCC22A-E8DD-4693-8183-34A6D33EC85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78" name="AutoShape 2">
          <a:extLst>
            <a:ext uri="{FF2B5EF4-FFF2-40B4-BE49-F238E27FC236}">
              <a16:creationId xmlns:a16="http://schemas.microsoft.com/office/drawing/2014/main" id="{07937C90-28C2-4A88-87FA-252BF9818D7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79" name="AutoShape 2">
          <a:extLst>
            <a:ext uri="{FF2B5EF4-FFF2-40B4-BE49-F238E27FC236}">
              <a16:creationId xmlns:a16="http://schemas.microsoft.com/office/drawing/2014/main" id="{3BE03958-6199-46D3-805E-C60AF03C6E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80" name="AutoShape 2">
          <a:extLst>
            <a:ext uri="{FF2B5EF4-FFF2-40B4-BE49-F238E27FC236}">
              <a16:creationId xmlns:a16="http://schemas.microsoft.com/office/drawing/2014/main" id="{0ECB1AB5-969F-42C5-BDD9-6C56F8513A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81" name="AutoShape 2">
          <a:extLst>
            <a:ext uri="{FF2B5EF4-FFF2-40B4-BE49-F238E27FC236}">
              <a16:creationId xmlns:a16="http://schemas.microsoft.com/office/drawing/2014/main" id="{46A4B7AB-88C8-4AAB-A8D1-EA9E29E97C4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4182" name="AutoShape 2">
          <a:extLst>
            <a:ext uri="{FF2B5EF4-FFF2-40B4-BE49-F238E27FC236}">
              <a16:creationId xmlns:a16="http://schemas.microsoft.com/office/drawing/2014/main" id="{0373C281-5CAE-4E0E-8EB7-A8A4D4CE8B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60050CFF-5EC3-4D8F-0536-A188004D6C09}"/>
  <xltc:person displayName="OpenAI" id="{6FD16ECC-A053-A8DE-AAAF-809AD78C1D66}"/>
  <xltc:person displayName="OpenAI" id="{5EF57EA0-A89F-C668-C2A5-EB796B04EFDE}"/>
  <xltc:person displayName="OpenAI" id="{0650157C-64D9-4ADB-B0BC-84C211327C0A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opLeftCell="A7" workbookViewId="0"/>
  </sheetViews>
  <sheetFormatPr baseColWidth="10" defaultColWidth="9.109375" defaultRowHeight="14.4" x14ac:dyDescent="0.3"/>
  <cols>
    <col min="1" max="1" width="29" customWidth="1"/>
    <col min="2" max="2" width="30" customWidth="1"/>
  </cols>
  <sheetData>
    <row r="1" spans="1:2" ht="36" x14ac:dyDescent="0.3">
      <c r="A1" s="1" t="s">
        <v>0</v>
      </c>
      <c r="B1" s="2" t="s">
        <v>1</v>
      </c>
    </row>
    <row r="2" spans="1:2" ht="72" x14ac:dyDescent="0.3">
      <c r="A2" s="3" t="s">
        <v>2</v>
      </c>
      <c r="B2" s="2" t="s">
        <v>3</v>
      </c>
    </row>
    <row r="3" spans="1:2" ht="28.8" x14ac:dyDescent="0.3">
      <c r="A3" s="3" t="s">
        <v>4</v>
      </c>
      <c r="B3" s="2" t="s">
        <v>5</v>
      </c>
    </row>
    <row r="4" spans="1:2" ht="43.2" x14ac:dyDescent="0.3">
      <c r="A4" s="3" t="s">
        <v>6</v>
      </c>
      <c r="B4" s="2" t="s">
        <v>7</v>
      </c>
    </row>
    <row r="5" spans="1:2" x14ac:dyDescent="0.3">
      <c r="A5" s="3" t="s">
        <v>8</v>
      </c>
      <c r="B5" s="2" t="s">
        <v>1</v>
      </c>
    </row>
    <row r="6" spans="1:2" ht="43.2" x14ac:dyDescent="0.3">
      <c r="A6" s="3" t="s">
        <v>9</v>
      </c>
      <c r="B6" s="2" t="s">
        <v>10</v>
      </c>
    </row>
    <row r="7" spans="1:2" ht="43.2" x14ac:dyDescent="0.3">
      <c r="A7" s="3" t="s">
        <v>11</v>
      </c>
      <c r="B7" s="2" t="s">
        <v>12</v>
      </c>
    </row>
    <row r="8" spans="1:2" ht="57.6" x14ac:dyDescent="0.3">
      <c r="A8" s="3" t="s">
        <v>13</v>
      </c>
      <c r="B8" s="2" t="s">
        <v>14</v>
      </c>
    </row>
    <row r="9" spans="1:2" ht="43.2" x14ac:dyDescent="0.3">
      <c r="A9" s="3" t="s">
        <v>15</v>
      </c>
      <c r="B9" s="2" t="s">
        <v>16</v>
      </c>
    </row>
    <row r="10" spans="1:2" ht="57.6" x14ac:dyDescent="0.3">
      <c r="A10" s="3" t="s">
        <v>17</v>
      </c>
      <c r="B10" s="2" t="s">
        <v>18</v>
      </c>
    </row>
    <row r="11" spans="1:2" ht="43.2" x14ac:dyDescent="0.3">
      <c r="A11" s="3" t="s">
        <v>19</v>
      </c>
      <c r="B11" s="2" t="s">
        <v>20</v>
      </c>
    </row>
    <row r="12" spans="1:2" ht="43.2" x14ac:dyDescent="0.3">
      <c r="A12" s="3" t="s">
        <v>21</v>
      </c>
      <c r="B12" s="2" t="s">
        <v>22</v>
      </c>
    </row>
    <row r="13" spans="1:2" ht="57.6" x14ac:dyDescent="0.3">
      <c r="A13" s="3" t="s">
        <v>23</v>
      </c>
      <c r="B13" s="2" t="s">
        <v>24</v>
      </c>
    </row>
    <row r="14" spans="1:2" ht="72" x14ac:dyDescent="0.3">
      <c r="A14" s="3" t="s">
        <v>25</v>
      </c>
      <c r="B14" s="2" t="s">
        <v>26</v>
      </c>
    </row>
    <row r="15" spans="1:2" ht="43.2" x14ac:dyDescent="0.3">
      <c r="A15" s="3" t="s">
        <v>27</v>
      </c>
      <c r="B15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baseColWidth="10" defaultColWidth="9.109375" defaultRowHeight="14.4" x14ac:dyDescent="0.3"/>
  <cols>
    <col min="1" max="1" width="16" customWidth="1"/>
  </cols>
  <sheetData>
    <row r="1" spans="1:1" x14ac:dyDescent="0.3">
      <c r="A1" s="4" t="s">
        <v>29</v>
      </c>
    </row>
    <row r="2" spans="1:1" x14ac:dyDescent="0.3">
      <c r="A2" s="2" t="s">
        <v>30</v>
      </c>
    </row>
    <row r="3" spans="1:1" x14ac:dyDescent="0.3">
      <c r="A3" s="2" t="s">
        <v>31</v>
      </c>
    </row>
    <row r="4" spans="1:1" x14ac:dyDescent="0.3">
      <c r="A4" s="2" t="s">
        <v>32</v>
      </c>
    </row>
    <row r="5" spans="1:1" x14ac:dyDescent="0.3">
      <c r="A5" s="2" t="s">
        <v>33</v>
      </c>
    </row>
    <row r="6" spans="1:1" x14ac:dyDescent="0.3">
      <c r="A6" s="2"/>
    </row>
    <row r="7" spans="1:1" x14ac:dyDescent="0.3">
      <c r="A7" s="4" t="s">
        <v>34</v>
      </c>
    </row>
    <row r="8" spans="1:1" x14ac:dyDescent="0.3">
      <c r="A8" s="2" t="s">
        <v>35</v>
      </c>
    </row>
    <row r="9" spans="1:1" x14ac:dyDescent="0.3">
      <c r="A9" s="2" t="s">
        <v>36</v>
      </c>
    </row>
    <row r="10" spans="1:1" x14ac:dyDescent="0.3">
      <c r="A10" s="2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/>
  </sheetViews>
  <sheetFormatPr baseColWidth="10" defaultColWidth="9.109375" defaultRowHeight="14.4" x14ac:dyDescent="0.3"/>
  <cols>
    <col min="1" max="1" width="13" customWidth="1"/>
    <col min="2" max="2" width="23" customWidth="1"/>
    <col min="3" max="3" width="15" customWidth="1"/>
    <col min="4" max="4" width="13" customWidth="1"/>
    <col min="5" max="5" width="14" customWidth="1"/>
    <col min="6" max="6" width="26" customWidth="1"/>
    <col min="7" max="7" width="28" customWidth="1"/>
    <col min="8" max="8" width="22" customWidth="1"/>
    <col min="9" max="9" width="21" customWidth="1"/>
    <col min="10" max="10" width="25" customWidth="1"/>
    <col min="11" max="11" width="26" customWidth="1"/>
    <col min="12" max="12" width="30" customWidth="1"/>
  </cols>
  <sheetData>
    <row r="1" spans="1:12" x14ac:dyDescent="0.3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47</v>
      </c>
      <c r="K1" s="5" t="s">
        <v>48</v>
      </c>
      <c r="L1" s="5" t="s">
        <v>49</v>
      </c>
    </row>
    <row r="2" spans="1:12" x14ac:dyDescent="0.3">
      <c r="A2" s="2" t="s">
        <v>50</v>
      </c>
      <c r="B2" s="2" t="s">
        <v>51</v>
      </c>
      <c r="C2" s="2">
        <v>12</v>
      </c>
      <c r="D2" s="2">
        <v>1</v>
      </c>
      <c r="E2" s="2">
        <v>2</v>
      </c>
      <c r="F2" s="2">
        <v>2</v>
      </c>
      <c r="G2" s="2">
        <v>8</v>
      </c>
      <c r="H2" s="2" t="s">
        <v>35</v>
      </c>
      <c r="I2" s="2" t="s">
        <v>36</v>
      </c>
      <c r="J2" s="2" t="s">
        <v>52</v>
      </c>
      <c r="K2" s="2" t="s">
        <v>53</v>
      </c>
      <c r="L2" s="2" t="s">
        <v>54</v>
      </c>
    </row>
    <row r="3" spans="1:12" x14ac:dyDescent="0.3">
      <c r="A3" s="2" t="s">
        <v>55</v>
      </c>
      <c r="B3" s="2" t="s">
        <v>51</v>
      </c>
      <c r="C3" s="2">
        <v>12</v>
      </c>
      <c r="D3" s="2">
        <v>1</v>
      </c>
      <c r="E3" s="2">
        <v>2</v>
      </c>
      <c r="F3" s="2">
        <v>2</v>
      </c>
      <c r="G3" s="2">
        <v>8</v>
      </c>
      <c r="H3" s="2" t="s">
        <v>35</v>
      </c>
      <c r="I3" s="2" t="s">
        <v>37</v>
      </c>
      <c r="J3" s="2" t="s">
        <v>52</v>
      </c>
      <c r="K3" s="2" t="s">
        <v>53</v>
      </c>
      <c r="L3" s="2" t="s">
        <v>56</v>
      </c>
    </row>
    <row r="4" spans="1:12" x14ac:dyDescent="0.3">
      <c r="A4" s="2" t="s">
        <v>57</v>
      </c>
      <c r="B4" s="2" t="s">
        <v>51</v>
      </c>
      <c r="C4" s="2">
        <v>12</v>
      </c>
      <c r="D4" s="2">
        <v>2</v>
      </c>
      <c r="E4" s="2">
        <v>2</v>
      </c>
      <c r="F4" s="2">
        <v>2</v>
      </c>
      <c r="G4" s="2">
        <v>8</v>
      </c>
      <c r="H4" s="2" t="s">
        <v>35</v>
      </c>
      <c r="I4" s="2" t="s">
        <v>36</v>
      </c>
      <c r="J4" s="2" t="s">
        <v>58</v>
      </c>
      <c r="K4" s="2" t="s">
        <v>53</v>
      </c>
      <c r="L4" s="2" t="s">
        <v>59</v>
      </c>
    </row>
    <row r="5" spans="1:12" x14ac:dyDescent="0.3">
      <c r="A5" s="2" t="s">
        <v>60</v>
      </c>
      <c r="B5" s="2" t="s">
        <v>51</v>
      </c>
      <c r="C5" s="2">
        <v>12</v>
      </c>
      <c r="D5" s="2">
        <v>2</v>
      </c>
      <c r="E5" s="2">
        <v>2</v>
      </c>
      <c r="F5" s="2">
        <v>2</v>
      </c>
      <c r="G5" s="2">
        <v>8</v>
      </c>
      <c r="H5" s="2" t="s">
        <v>35</v>
      </c>
      <c r="I5" s="2" t="s">
        <v>37</v>
      </c>
      <c r="J5" s="2" t="s">
        <v>58</v>
      </c>
      <c r="K5" s="2" t="s">
        <v>53</v>
      </c>
      <c r="L5" s="2" t="s">
        <v>61</v>
      </c>
    </row>
    <row r="6" spans="1:12" x14ac:dyDescent="0.3">
      <c r="A6" s="2" t="s">
        <v>62</v>
      </c>
      <c r="B6" s="2" t="s">
        <v>63</v>
      </c>
      <c r="C6" s="2">
        <v>15</v>
      </c>
      <c r="D6" s="2">
        <v>1</v>
      </c>
      <c r="E6" s="2">
        <v>2</v>
      </c>
      <c r="F6" s="2">
        <v>2</v>
      </c>
      <c r="G6" s="2">
        <v>6</v>
      </c>
      <c r="H6" s="2" t="s">
        <v>37</v>
      </c>
      <c r="I6" s="2" t="s">
        <v>35</v>
      </c>
      <c r="J6" s="2" t="s">
        <v>52</v>
      </c>
      <c r="K6" s="2" t="s">
        <v>64</v>
      </c>
      <c r="L6" s="2" t="s">
        <v>65</v>
      </c>
    </row>
    <row r="7" spans="1:12" x14ac:dyDescent="0.3">
      <c r="A7" s="2" t="s">
        <v>66</v>
      </c>
      <c r="B7" s="2" t="s">
        <v>63</v>
      </c>
      <c r="C7" s="2">
        <v>15</v>
      </c>
      <c r="D7" s="2">
        <v>1</v>
      </c>
      <c r="E7" s="2">
        <v>2</v>
      </c>
      <c r="F7" s="2">
        <v>2</v>
      </c>
      <c r="G7" s="2">
        <v>6</v>
      </c>
      <c r="H7" s="2" t="s">
        <v>37</v>
      </c>
      <c r="I7" s="2" t="s">
        <v>36</v>
      </c>
      <c r="J7" s="2" t="s">
        <v>52</v>
      </c>
      <c r="K7" s="2" t="s">
        <v>64</v>
      </c>
      <c r="L7" s="2" t="s">
        <v>67</v>
      </c>
    </row>
    <row r="8" spans="1:12" x14ac:dyDescent="0.3">
      <c r="A8" s="2" t="s">
        <v>68</v>
      </c>
      <c r="B8" s="2" t="s">
        <v>63</v>
      </c>
      <c r="C8" s="2">
        <v>15</v>
      </c>
      <c r="D8" s="2">
        <v>1</v>
      </c>
      <c r="E8" s="2">
        <v>2</v>
      </c>
      <c r="F8" s="2">
        <v>2</v>
      </c>
      <c r="G8" s="2">
        <v>6</v>
      </c>
      <c r="H8" s="2" t="s">
        <v>37</v>
      </c>
      <c r="I8" s="2" t="s">
        <v>37</v>
      </c>
      <c r="J8" s="2" t="s">
        <v>52</v>
      </c>
      <c r="K8" s="2" t="s">
        <v>64</v>
      </c>
      <c r="L8" s="2" t="s">
        <v>69</v>
      </c>
    </row>
    <row r="9" spans="1:12" x14ac:dyDescent="0.3">
      <c r="A9" s="2" t="s">
        <v>70</v>
      </c>
      <c r="B9" s="2" t="s">
        <v>63</v>
      </c>
      <c r="C9" s="2">
        <v>15</v>
      </c>
      <c r="D9" s="2">
        <v>1</v>
      </c>
      <c r="E9" s="2">
        <v>2</v>
      </c>
      <c r="F9" s="2">
        <v>2</v>
      </c>
      <c r="G9" s="2">
        <v>6</v>
      </c>
      <c r="H9" s="2" t="s">
        <v>37</v>
      </c>
      <c r="I9" s="2" t="s">
        <v>36</v>
      </c>
      <c r="J9" s="2" t="s">
        <v>52</v>
      </c>
      <c r="K9" s="2" t="s">
        <v>64</v>
      </c>
      <c r="L9" s="2" t="s">
        <v>71</v>
      </c>
    </row>
    <row r="10" spans="1:12" x14ac:dyDescent="0.3">
      <c r="A10" s="2" t="s">
        <v>72</v>
      </c>
      <c r="B10" s="2" t="s">
        <v>73</v>
      </c>
      <c r="C10" s="2">
        <v>16</v>
      </c>
      <c r="D10" s="2">
        <v>3</v>
      </c>
      <c r="E10" s="2">
        <v>2</v>
      </c>
      <c r="F10" s="2">
        <v>2</v>
      </c>
      <c r="G10" s="2">
        <v>8</v>
      </c>
      <c r="H10" s="2" t="s">
        <v>36</v>
      </c>
      <c r="I10" s="2" t="s">
        <v>35</v>
      </c>
      <c r="J10" s="2" t="s">
        <v>52</v>
      </c>
      <c r="K10" s="2" t="s">
        <v>74</v>
      </c>
      <c r="L10" s="2" t="s">
        <v>75</v>
      </c>
    </row>
    <row r="11" spans="1:12" x14ac:dyDescent="0.3">
      <c r="A11" s="2" t="s">
        <v>76</v>
      </c>
      <c r="B11" s="2" t="s">
        <v>73</v>
      </c>
      <c r="C11" s="2">
        <v>16</v>
      </c>
      <c r="D11" s="2">
        <v>3</v>
      </c>
      <c r="E11" s="2">
        <v>2</v>
      </c>
      <c r="F11" s="2">
        <v>2</v>
      </c>
      <c r="G11" s="2">
        <v>8</v>
      </c>
      <c r="H11" s="2" t="s">
        <v>36</v>
      </c>
      <c r="I11" s="2" t="s">
        <v>37</v>
      </c>
      <c r="J11" s="2" t="s">
        <v>52</v>
      </c>
      <c r="K11" s="2" t="s">
        <v>74</v>
      </c>
      <c r="L11" s="2" t="s">
        <v>77</v>
      </c>
    </row>
    <row r="12" spans="1:12" x14ac:dyDescent="0.3">
      <c r="A12" s="2" t="s">
        <v>78</v>
      </c>
      <c r="B12" s="2" t="s">
        <v>73</v>
      </c>
      <c r="C12" s="2">
        <v>16</v>
      </c>
      <c r="D12" s="2">
        <v>3</v>
      </c>
      <c r="E12" s="2">
        <v>2</v>
      </c>
      <c r="F12" s="2">
        <v>2</v>
      </c>
      <c r="G12" s="2">
        <v>8</v>
      </c>
      <c r="H12" s="2" t="s">
        <v>36</v>
      </c>
      <c r="I12" s="2" t="s">
        <v>36</v>
      </c>
      <c r="J12" s="2" t="s">
        <v>79</v>
      </c>
      <c r="K12" s="2" t="s">
        <v>74</v>
      </c>
      <c r="L12" s="2" t="s">
        <v>80</v>
      </c>
    </row>
    <row r="13" spans="1:12" x14ac:dyDescent="0.3">
      <c r="A13" s="2" t="s">
        <v>81</v>
      </c>
      <c r="B13" s="2" t="s">
        <v>73</v>
      </c>
      <c r="C13" s="2">
        <v>16</v>
      </c>
      <c r="D13" s="2">
        <v>3</v>
      </c>
      <c r="E13" s="2">
        <v>2</v>
      </c>
      <c r="F13" s="2">
        <v>2</v>
      </c>
      <c r="G13" s="2">
        <v>8</v>
      </c>
      <c r="H13" s="2" t="s">
        <v>36</v>
      </c>
      <c r="I13" s="2" t="s">
        <v>37</v>
      </c>
      <c r="J13" s="2" t="s">
        <v>82</v>
      </c>
      <c r="K13" s="2" t="s">
        <v>74</v>
      </c>
      <c r="L13" s="2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7"/>
  <sheetViews>
    <sheetView tabSelected="1" topLeftCell="A25" workbookViewId="0">
      <selection activeCell="B37" sqref="B32:B37"/>
    </sheetView>
  </sheetViews>
  <sheetFormatPr baseColWidth="10" defaultColWidth="9.109375" defaultRowHeight="14.4" x14ac:dyDescent="0.3"/>
  <cols>
    <col min="1" max="2" width="30" customWidth="1"/>
    <col min="3" max="3" width="10" customWidth="1"/>
    <col min="4" max="4" width="30" customWidth="1"/>
  </cols>
  <sheetData>
    <row r="1" spans="1:4" x14ac:dyDescent="0.3">
      <c r="A1" s="5" t="s">
        <v>84</v>
      </c>
      <c r="B1" s="5" t="s">
        <v>85</v>
      </c>
      <c r="C1" s="5" t="s">
        <v>86</v>
      </c>
      <c r="D1" s="5" t="s">
        <v>87</v>
      </c>
    </row>
    <row r="2" spans="1:4" ht="28.8" x14ac:dyDescent="0.3">
      <c r="A2" s="2" t="s">
        <v>88</v>
      </c>
      <c r="B2" s="6" t="s">
        <v>78</v>
      </c>
      <c r="C2" s="2" t="s">
        <v>89</v>
      </c>
      <c r="D2" s="2" t="s">
        <v>90</v>
      </c>
    </row>
    <row r="3" spans="1:4" x14ac:dyDescent="0.3">
      <c r="A3" s="2" t="s">
        <v>39</v>
      </c>
      <c r="B3" s="7" t="str">
        <f>INDEX(Instance_Catalog!$B$2:$B$13,MATCH(B2,Instance_Catalog!$A$2:$A$13,0))</f>
        <v>Hierarchical conflict</v>
      </c>
      <c r="C3" s="2" t="s">
        <v>91</v>
      </c>
      <c r="D3" s="2" t="s">
        <v>92</v>
      </c>
    </row>
    <row r="4" spans="1:4" x14ac:dyDescent="0.3">
      <c r="A4" s="2" t="s">
        <v>40</v>
      </c>
      <c r="B4" s="7">
        <f>INDEX(Instance_Catalog!$C$2:$C$13,MATCH(B2,Instance_Catalog!$A$2:$A$13,0))</f>
        <v>16</v>
      </c>
      <c r="C4" s="2" t="s">
        <v>91</v>
      </c>
      <c r="D4" s="2" t="s">
        <v>92</v>
      </c>
    </row>
    <row r="5" spans="1:4" x14ac:dyDescent="0.3">
      <c r="A5" s="2" t="s">
        <v>41</v>
      </c>
      <c r="B5" s="7">
        <v>6</v>
      </c>
      <c r="C5" s="2" t="s">
        <v>91</v>
      </c>
      <c r="D5" s="2" t="s">
        <v>92</v>
      </c>
    </row>
    <row r="6" spans="1:4" x14ac:dyDescent="0.3">
      <c r="A6" s="11" t="s">
        <v>174</v>
      </c>
      <c r="B6" s="12">
        <v>1</v>
      </c>
      <c r="C6" s="2" t="s">
        <v>91</v>
      </c>
      <c r="D6" s="2" t="s">
        <v>92</v>
      </c>
    </row>
    <row r="7" spans="1:4" x14ac:dyDescent="0.3">
      <c r="A7" s="2" t="s">
        <v>42</v>
      </c>
      <c r="B7" s="7">
        <v>3</v>
      </c>
      <c r="C7" s="2" t="s">
        <v>91</v>
      </c>
      <c r="D7" s="2" t="s">
        <v>92</v>
      </c>
    </row>
    <row r="8" spans="1:4" x14ac:dyDescent="0.3">
      <c r="A8" s="2" t="s">
        <v>43</v>
      </c>
      <c r="B8" s="7">
        <f>INDEX(Instance_Catalog!$F$2:$F$13,MATCH(B2,Instance_Catalog!$A$2:$A$13,0))</f>
        <v>2</v>
      </c>
      <c r="C8" s="2" t="s">
        <v>91</v>
      </c>
      <c r="D8" s="2" t="s">
        <v>92</v>
      </c>
    </row>
    <row r="9" spans="1:4" x14ac:dyDescent="0.3">
      <c r="A9" s="2" t="s">
        <v>44</v>
      </c>
      <c r="B9" s="7">
        <f>INDEX(Instance_Catalog!$G$2:$G$13,MATCH(B2,Instance_Catalog!$A$2:$A$13,0))</f>
        <v>8</v>
      </c>
      <c r="C9" s="2" t="s">
        <v>91</v>
      </c>
      <c r="D9" s="2" t="s">
        <v>92</v>
      </c>
    </row>
    <row r="10" spans="1:4" x14ac:dyDescent="0.3">
      <c r="A10" s="2" t="s">
        <v>45</v>
      </c>
      <c r="B10" s="7" t="str">
        <f>INDEX(Instance_Catalog!$H$2:$H$13,MATCH(B2,Instance_Catalog!$A$2:$A$13,0))</f>
        <v>Medium</v>
      </c>
      <c r="C10" s="2" t="s">
        <v>91</v>
      </c>
      <c r="D10" s="2" t="s">
        <v>92</v>
      </c>
    </row>
    <row r="11" spans="1:4" x14ac:dyDescent="0.3">
      <c r="A11" s="2" t="s">
        <v>46</v>
      </c>
      <c r="B11" s="7" t="str">
        <f>INDEX(Instance_Catalog!$I$2:$I$13,MATCH(B2,Instance_Catalog!$A$2:$A$13,0))</f>
        <v>Medium</v>
      </c>
      <c r="C11" s="2" t="s">
        <v>91</v>
      </c>
      <c r="D11" s="2" t="s">
        <v>92</v>
      </c>
    </row>
    <row r="12" spans="1:4" x14ac:dyDescent="0.3">
      <c r="A12" s="2" t="s">
        <v>47</v>
      </c>
      <c r="B12" s="7" t="str">
        <f>INDEX(Instance_Catalog!$J$2:$J$13,MATCH(B2,Instance_Catalog!$A$2:$A$13,0))</f>
        <v>Unfavorable</v>
      </c>
      <c r="C12" s="2" t="s">
        <v>91</v>
      </c>
      <c r="D12" s="2" t="s">
        <v>92</v>
      </c>
    </row>
    <row r="13" spans="1:4" x14ac:dyDescent="0.3">
      <c r="A13" s="2" t="s">
        <v>48</v>
      </c>
      <c r="B13" s="7" t="str">
        <f>INDEX(Instance_Catalog!$K$2:$K$13,MATCH(B2,Instance_Catalog!$A$2:$A$13,0))</f>
        <v>Low-&gt;High quality shift</v>
      </c>
      <c r="C13" s="2" t="s">
        <v>91</v>
      </c>
      <c r="D13" s="2" t="s">
        <v>92</v>
      </c>
    </row>
    <row r="14" spans="1:4" x14ac:dyDescent="0.3">
      <c r="A14" s="2" t="s">
        <v>49</v>
      </c>
      <c r="B14" s="7" t="str">
        <f>INDEX(Instance_Catalog!$L$2:$L$13,MATCH(B2,Instance_Catalog!$A$2:$A$13,0))</f>
        <v>State inheritance impact</v>
      </c>
      <c r="C14" s="2" t="s">
        <v>91</v>
      </c>
      <c r="D14" s="2" t="s">
        <v>92</v>
      </c>
    </row>
    <row r="15" spans="1:4" x14ac:dyDescent="0.3">
      <c r="A15" s="2" t="s">
        <v>93</v>
      </c>
      <c r="B15" s="8">
        <v>50</v>
      </c>
      <c r="C15" s="2" t="s">
        <v>89</v>
      </c>
      <c r="D15" s="2" t="s">
        <v>94</v>
      </c>
    </row>
    <row r="16" spans="1:4" x14ac:dyDescent="0.3">
      <c r="A16" s="2" t="s">
        <v>95</v>
      </c>
      <c r="B16" s="8">
        <v>50</v>
      </c>
      <c r="C16" s="2" t="s">
        <v>89</v>
      </c>
      <c r="D16" s="2" t="s">
        <v>96</v>
      </c>
    </row>
    <row r="17" spans="1:4" ht="28.8" x14ac:dyDescent="0.3">
      <c r="A17" s="2" t="s">
        <v>97</v>
      </c>
      <c r="B17" s="8">
        <v>3</v>
      </c>
      <c r="C17" s="2" t="s">
        <v>89</v>
      </c>
      <c r="D17" s="2" t="s">
        <v>98</v>
      </c>
    </row>
    <row r="18" spans="1:4" x14ac:dyDescent="0.3">
      <c r="A18" s="2" t="s">
        <v>99</v>
      </c>
      <c r="B18" s="8">
        <v>1</v>
      </c>
      <c r="C18" s="2" t="s">
        <v>89</v>
      </c>
      <c r="D18" s="2" t="s">
        <v>100</v>
      </c>
    </row>
    <row r="19" spans="1:4" ht="43.2" x14ac:dyDescent="0.3">
      <c r="A19" s="2" t="s">
        <v>101</v>
      </c>
      <c r="B19" s="9" t="s">
        <v>102</v>
      </c>
      <c r="C19" s="2" t="s">
        <v>103</v>
      </c>
      <c r="D19" s="2" t="s">
        <v>104</v>
      </c>
    </row>
    <row r="20" spans="1:4" x14ac:dyDescent="0.3">
      <c r="A20" s="2"/>
      <c r="B20" s="2"/>
      <c r="C20" s="2"/>
      <c r="D20" s="2"/>
    </row>
    <row r="21" spans="1:4" x14ac:dyDescent="0.3">
      <c r="A21" s="3" t="s">
        <v>105</v>
      </c>
      <c r="B21" s="3"/>
      <c r="C21" s="3"/>
      <c r="D21" s="3"/>
    </row>
    <row r="22" spans="1:4" x14ac:dyDescent="0.3">
      <c r="A22" s="2" t="s">
        <v>106</v>
      </c>
      <c r="B22" s="10" t="e">
        <f>SUM(Suppliers!#REF!)</f>
        <v>#REF!</v>
      </c>
      <c r="C22" s="2" t="s">
        <v>91</v>
      </c>
      <c r="D22" s="2" t="s">
        <v>107</v>
      </c>
    </row>
    <row r="23" spans="1:4" x14ac:dyDescent="0.3">
      <c r="A23" s="2" t="s">
        <v>108</v>
      </c>
      <c r="B23" s="10">
        <f>SUM(Suppliers!F2:F6)</f>
        <v>1.5</v>
      </c>
      <c r="C23" s="2" t="s">
        <v>91</v>
      </c>
      <c r="D23" s="2" t="s">
        <v>107</v>
      </c>
    </row>
    <row r="24" spans="1:4" x14ac:dyDescent="0.3">
      <c r="A24" s="2" t="s">
        <v>109</v>
      </c>
      <c r="B24" s="10">
        <f>SUM(Suppliers!G2:G6)</f>
        <v>4.5</v>
      </c>
      <c r="C24" s="2" t="s">
        <v>91</v>
      </c>
      <c r="D24" s="2" t="s">
        <v>107</v>
      </c>
    </row>
    <row r="25" spans="1:4" ht="28.8" x14ac:dyDescent="0.3">
      <c r="A25" s="2" t="s">
        <v>110</v>
      </c>
      <c r="B25" s="7">
        <f>COUNTIFS(Fleet!D2:D2,1)+COUNTIFS(Fleet!E2:E2,1)+COUNTIFS(Fleet!F2:F2,1)</f>
        <v>3</v>
      </c>
      <c r="C25" s="2" t="s">
        <v>91</v>
      </c>
      <c r="D25" s="2" t="s">
        <v>111</v>
      </c>
    </row>
    <row r="26" spans="1:4" x14ac:dyDescent="0.3">
      <c r="A26" s="2" t="s">
        <v>112</v>
      </c>
      <c r="B26" s="10">
        <f>SUMPRODUCT(Fleet!$C$2:$C$2,Fleet!$D$2:$D$2)*$B$17</f>
        <v>30</v>
      </c>
      <c r="C26" s="2" t="s">
        <v>91</v>
      </c>
      <c r="D26" s="2" t="s">
        <v>113</v>
      </c>
    </row>
    <row r="27" spans="1:4" x14ac:dyDescent="0.3">
      <c r="A27" s="2" t="s">
        <v>114</v>
      </c>
      <c r="B27" s="10">
        <f>SUMPRODUCT(Fleet!$C$2:$C$2,Fleet!$E$2:$E$2)*$B$17</f>
        <v>30</v>
      </c>
      <c r="C27" s="2" t="s">
        <v>91</v>
      </c>
      <c r="D27" s="2" t="s">
        <v>113</v>
      </c>
    </row>
    <row r="28" spans="1:4" x14ac:dyDescent="0.3">
      <c r="A28" s="2" t="s">
        <v>115</v>
      </c>
      <c r="B28" s="10">
        <f>SUMPRODUCT(Fleet!$C$2:$C$2,Fleet!$F$2:$F$2)*$B$17</f>
        <v>30</v>
      </c>
      <c r="C28" s="2" t="s">
        <v>91</v>
      </c>
      <c r="D28" s="2" t="s">
        <v>113</v>
      </c>
    </row>
    <row r="29" spans="1:4" x14ac:dyDescent="0.3">
      <c r="A29" s="2" t="s">
        <v>116</v>
      </c>
      <c r="B29" s="10" t="e">
        <f>IF(B26=0,"",B22/B26)</f>
        <v>#REF!</v>
      </c>
      <c r="C29" s="2" t="s">
        <v>91</v>
      </c>
      <c r="D29" s="2" t="s">
        <v>117</v>
      </c>
    </row>
    <row r="30" spans="1:4" x14ac:dyDescent="0.3">
      <c r="A30" s="2" t="s">
        <v>118</v>
      </c>
      <c r="B30" s="10">
        <f>IF(B27=0,"",B23/B27)</f>
        <v>0.05</v>
      </c>
      <c r="C30" s="2" t="s">
        <v>91</v>
      </c>
      <c r="D30" s="2" t="s">
        <v>117</v>
      </c>
    </row>
    <row r="31" spans="1:4" x14ac:dyDescent="0.3">
      <c r="A31" s="2" t="s">
        <v>119</v>
      </c>
      <c r="B31" s="10">
        <f>IF(B28=0,"",B24/B28)</f>
        <v>0.15</v>
      </c>
      <c r="C31" s="2" t="s">
        <v>91</v>
      </c>
      <c r="D31" s="2" t="s">
        <v>117</v>
      </c>
    </row>
    <row r="32" spans="1:4" x14ac:dyDescent="0.3">
      <c r="A32" t="s">
        <v>176</v>
      </c>
      <c r="B32">
        <v>5400</v>
      </c>
    </row>
    <row r="33" spans="1:2" x14ac:dyDescent="0.3">
      <c r="A33" t="s">
        <v>177</v>
      </c>
      <c r="B33">
        <v>5400</v>
      </c>
    </row>
    <row r="34" spans="1:2" x14ac:dyDescent="0.3">
      <c r="A34" t="s">
        <v>178</v>
      </c>
      <c r="B34">
        <v>5400</v>
      </c>
    </row>
    <row r="35" spans="1:2" x14ac:dyDescent="0.3">
      <c r="A35" t="s">
        <v>179</v>
      </c>
      <c r="B35">
        <v>5400</v>
      </c>
    </row>
    <row r="36" spans="1:2" x14ac:dyDescent="0.3">
      <c r="A36" t="s">
        <v>180</v>
      </c>
      <c r="B36">
        <v>5400</v>
      </c>
    </row>
    <row r="37" spans="1:2" x14ac:dyDescent="0.3">
      <c r="A37" t="s">
        <v>181</v>
      </c>
      <c r="B37">
        <v>5400</v>
      </c>
    </row>
  </sheetData>
  <dataValidations count="1">
    <dataValidation type="list" sqref="B2" xr:uid="{00000000-0002-0000-0300-000000000000}">
      <formula1>"A1,A2,A3,A4,B1,B2,B3,B4,C1,C2,C3,C4"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CEA27-0181-40CC-8559-34E9C65B864D}">
  <dimension ref="A1:B6"/>
  <sheetViews>
    <sheetView workbookViewId="0">
      <selection sqref="A1:B6"/>
    </sheetView>
  </sheetViews>
  <sheetFormatPr baseColWidth="10" defaultRowHeight="14.4" x14ac:dyDescent="0.3"/>
  <sheetData>
    <row r="1" spans="1:2" x14ac:dyDescent="0.3">
      <c r="A1" t="s">
        <v>176</v>
      </c>
      <c r="B1">
        <v>540</v>
      </c>
    </row>
    <row r="2" spans="1:2" x14ac:dyDescent="0.3">
      <c r="A2" t="s">
        <v>177</v>
      </c>
      <c r="B2">
        <v>260</v>
      </c>
    </row>
    <row r="3" spans="1:2" x14ac:dyDescent="0.3">
      <c r="A3" t="s">
        <v>178</v>
      </c>
      <c r="B3">
        <v>230</v>
      </c>
    </row>
    <row r="4" spans="1:2" x14ac:dyDescent="0.3">
      <c r="A4" t="s">
        <v>179</v>
      </c>
      <c r="B4">
        <v>540</v>
      </c>
    </row>
    <row r="5" spans="1:2" x14ac:dyDescent="0.3">
      <c r="A5" t="s">
        <v>180</v>
      </c>
      <c r="B5">
        <v>540</v>
      </c>
    </row>
    <row r="6" spans="1:2" x14ac:dyDescent="0.3">
      <c r="A6" t="s">
        <v>181</v>
      </c>
      <c r="B6">
        <v>540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9"/>
  <sheetViews>
    <sheetView topLeftCell="D1" workbookViewId="0">
      <selection activeCell="I27" sqref="I27"/>
    </sheetView>
  </sheetViews>
  <sheetFormatPr baseColWidth="10" defaultColWidth="9.109375" defaultRowHeight="14.4" x14ac:dyDescent="0.3"/>
  <cols>
    <col min="1" max="1" width="13" customWidth="1"/>
    <col min="2" max="4" width="10" customWidth="1"/>
    <col min="5" max="11" width="13" customWidth="1"/>
    <col min="12" max="12" width="6.33203125" bestFit="1" customWidth="1"/>
  </cols>
  <sheetData>
    <row r="1" spans="1:12" x14ac:dyDescent="0.3">
      <c r="A1" s="5" t="s">
        <v>120</v>
      </c>
      <c r="B1" s="5" t="s">
        <v>121</v>
      </c>
      <c r="C1" s="5" t="s">
        <v>122</v>
      </c>
      <c r="D1" s="5" t="s">
        <v>123</v>
      </c>
      <c r="E1" s="5" t="s">
        <v>124</v>
      </c>
      <c r="F1" s="5" t="s">
        <v>125</v>
      </c>
      <c r="G1" s="5" t="s">
        <v>126</v>
      </c>
      <c r="H1" s="5" t="s">
        <v>162</v>
      </c>
      <c r="I1" s="5" t="s">
        <v>163</v>
      </c>
      <c r="J1" s="5" t="s">
        <v>164</v>
      </c>
      <c r="K1" s="5" t="s">
        <v>127</v>
      </c>
      <c r="L1" s="5" t="s">
        <v>87</v>
      </c>
    </row>
    <row r="2" spans="1:12" x14ac:dyDescent="0.3">
      <c r="A2" s="2" t="s">
        <v>128</v>
      </c>
      <c r="B2" s="8">
        <v>18</v>
      </c>
      <c r="C2" s="8">
        <v>82</v>
      </c>
      <c r="D2" s="6" t="s">
        <v>30</v>
      </c>
      <c r="E2">
        <v>4.5</v>
      </c>
      <c r="F2">
        <v>1.5</v>
      </c>
      <c r="G2">
        <v>4.5</v>
      </c>
      <c r="H2">
        <v>4.55</v>
      </c>
      <c r="I2">
        <v>0</v>
      </c>
      <c r="J2">
        <v>5</v>
      </c>
      <c r="K2" s="6"/>
      <c r="L2" s="6"/>
    </row>
    <row r="3" spans="1:12" x14ac:dyDescent="0.3">
      <c r="A3" s="2" t="s">
        <v>128</v>
      </c>
      <c r="B3" s="8">
        <v>18</v>
      </c>
      <c r="C3" s="8">
        <v>82</v>
      </c>
      <c r="D3" s="6" t="s">
        <v>31</v>
      </c>
      <c r="E3">
        <v>0</v>
      </c>
      <c r="F3">
        <v>0</v>
      </c>
      <c r="G3">
        <v>0</v>
      </c>
      <c r="H3">
        <v>2.5</v>
      </c>
      <c r="I3">
        <v>0</v>
      </c>
      <c r="J3">
        <v>0</v>
      </c>
      <c r="K3" s="6"/>
      <c r="L3" s="6"/>
    </row>
    <row r="4" spans="1:12" x14ac:dyDescent="0.3">
      <c r="A4" s="2" t="s">
        <v>128</v>
      </c>
      <c r="B4" s="8">
        <v>18</v>
      </c>
      <c r="C4" s="8">
        <v>82</v>
      </c>
      <c r="D4" s="6" t="s">
        <v>33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6"/>
      <c r="L4" s="6"/>
    </row>
    <row r="5" spans="1:12" x14ac:dyDescent="0.3">
      <c r="A5" s="2" t="s">
        <v>129</v>
      </c>
      <c r="B5" s="8">
        <v>28</v>
      </c>
      <c r="C5" s="8">
        <v>68</v>
      </c>
      <c r="D5" s="6" t="s">
        <v>30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s="6"/>
      <c r="L5" s="6"/>
    </row>
    <row r="6" spans="1:12" x14ac:dyDescent="0.3">
      <c r="A6" s="2" t="s">
        <v>129</v>
      </c>
      <c r="B6" s="8">
        <v>28</v>
      </c>
      <c r="C6" s="8">
        <v>68</v>
      </c>
      <c r="D6" s="6" t="s">
        <v>31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s="6"/>
      <c r="L6" s="6"/>
    </row>
    <row r="7" spans="1:12" x14ac:dyDescent="0.3">
      <c r="A7" s="2" t="s">
        <v>129</v>
      </c>
      <c r="B7" s="8">
        <v>28</v>
      </c>
      <c r="C7" s="8">
        <v>68</v>
      </c>
      <c r="D7" s="6" t="s">
        <v>33</v>
      </c>
      <c r="E7">
        <v>3.5</v>
      </c>
      <c r="F7">
        <v>3.36</v>
      </c>
      <c r="G7">
        <v>0</v>
      </c>
      <c r="H7">
        <v>0</v>
      </c>
      <c r="I7">
        <v>0</v>
      </c>
      <c r="J7">
        <v>0</v>
      </c>
      <c r="K7" s="6"/>
      <c r="L7" s="6"/>
    </row>
    <row r="8" spans="1:12" x14ac:dyDescent="0.3">
      <c r="A8" s="7" t="s">
        <v>158</v>
      </c>
      <c r="D8" t="s">
        <v>30</v>
      </c>
      <c r="E8">
        <v>4.5</v>
      </c>
      <c r="F8">
        <v>5</v>
      </c>
      <c r="G8">
        <v>1.5</v>
      </c>
      <c r="H8">
        <v>5</v>
      </c>
      <c r="I8">
        <v>5</v>
      </c>
      <c r="J8">
        <v>10</v>
      </c>
    </row>
    <row r="9" spans="1:12" x14ac:dyDescent="0.3">
      <c r="A9" s="7" t="s">
        <v>158</v>
      </c>
      <c r="D9" t="s">
        <v>31</v>
      </c>
      <c r="E9">
        <v>0</v>
      </c>
      <c r="F9">
        <v>0</v>
      </c>
      <c r="G9">
        <v>5</v>
      </c>
      <c r="H9">
        <v>4</v>
      </c>
      <c r="I9">
        <v>5</v>
      </c>
      <c r="J9">
        <v>3.5</v>
      </c>
    </row>
    <row r="10" spans="1:12" x14ac:dyDescent="0.3">
      <c r="A10" s="7" t="s">
        <v>158</v>
      </c>
      <c r="D10" t="s">
        <v>33</v>
      </c>
      <c r="E10">
        <v>3</v>
      </c>
      <c r="F10">
        <v>2.5</v>
      </c>
      <c r="G10">
        <v>0</v>
      </c>
      <c r="H10">
        <v>0</v>
      </c>
      <c r="I10">
        <v>0</v>
      </c>
      <c r="J10">
        <v>0</v>
      </c>
    </row>
    <row r="11" spans="1:12" x14ac:dyDescent="0.3">
      <c r="A11" s="7" t="s">
        <v>159</v>
      </c>
      <c r="D11" t="s">
        <v>30</v>
      </c>
      <c r="E11">
        <v>3.5</v>
      </c>
      <c r="F11">
        <v>3.5</v>
      </c>
      <c r="G11">
        <v>3</v>
      </c>
      <c r="H11">
        <v>0</v>
      </c>
      <c r="I11">
        <v>10</v>
      </c>
      <c r="J11">
        <v>4.76</v>
      </c>
    </row>
    <row r="12" spans="1:12" x14ac:dyDescent="0.3">
      <c r="A12" s="7" t="s">
        <v>159</v>
      </c>
      <c r="D12" t="s">
        <v>31</v>
      </c>
      <c r="E12">
        <v>0</v>
      </c>
      <c r="F12">
        <v>0</v>
      </c>
      <c r="G12">
        <v>5</v>
      </c>
      <c r="H12">
        <v>0</v>
      </c>
      <c r="I12">
        <v>0</v>
      </c>
      <c r="J12">
        <v>0</v>
      </c>
    </row>
    <row r="13" spans="1:12" x14ac:dyDescent="0.3">
      <c r="A13" s="7" t="s">
        <v>159</v>
      </c>
      <c r="D13" t="s">
        <v>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2" x14ac:dyDescent="0.3">
      <c r="A14" s="7" t="s">
        <v>160</v>
      </c>
      <c r="D14" t="s">
        <v>30</v>
      </c>
      <c r="E14">
        <v>5</v>
      </c>
      <c r="F14">
        <v>5</v>
      </c>
      <c r="G14">
        <v>0</v>
      </c>
      <c r="H14">
        <v>0</v>
      </c>
      <c r="I14">
        <v>0</v>
      </c>
      <c r="J14">
        <v>0</v>
      </c>
    </row>
    <row r="15" spans="1:12" x14ac:dyDescent="0.3">
      <c r="A15" s="7" t="s">
        <v>160</v>
      </c>
      <c r="D15" t="s">
        <v>31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2" x14ac:dyDescent="0.3">
      <c r="A16" s="7" t="s">
        <v>160</v>
      </c>
      <c r="D16" t="s">
        <v>33</v>
      </c>
      <c r="E16">
        <v>3</v>
      </c>
      <c r="F16">
        <v>2</v>
      </c>
      <c r="G16">
        <v>0</v>
      </c>
      <c r="H16">
        <v>0</v>
      </c>
      <c r="I16">
        <v>0</v>
      </c>
      <c r="J16">
        <v>0</v>
      </c>
    </row>
    <row r="17" spans="1:10" x14ac:dyDescent="0.3">
      <c r="A17" s="7" t="s">
        <v>175</v>
      </c>
      <c r="D17" t="s">
        <v>30</v>
      </c>
      <c r="E17">
        <v>1.5</v>
      </c>
      <c r="F17">
        <v>3.5</v>
      </c>
      <c r="G17">
        <v>4.66</v>
      </c>
      <c r="H17">
        <v>0</v>
      </c>
      <c r="I17">
        <v>0</v>
      </c>
      <c r="J17">
        <v>0</v>
      </c>
    </row>
    <row r="18" spans="1:10" x14ac:dyDescent="0.3">
      <c r="A18" s="7" t="s">
        <v>175</v>
      </c>
      <c r="D18" t="s">
        <v>31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">
      <c r="A19" s="7" t="s">
        <v>175</v>
      </c>
      <c r="D19" t="s">
        <v>33</v>
      </c>
      <c r="E19">
        <v>0</v>
      </c>
      <c r="F19">
        <v>2</v>
      </c>
      <c r="G19">
        <v>0</v>
      </c>
      <c r="H19">
        <v>0</v>
      </c>
      <c r="I19">
        <v>0</v>
      </c>
      <c r="J19">
        <v>0</v>
      </c>
    </row>
  </sheetData>
  <phoneticPr fontId="7" type="noConversion"/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Controls!$A$2:$A$5</xm:f>
          </x14:formula1>
          <xm:sqref>F23:J40 C2:E72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"/>
  <sheetViews>
    <sheetView workbookViewId="0">
      <selection activeCell="C8" sqref="C8"/>
    </sheetView>
  </sheetViews>
  <sheetFormatPr baseColWidth="10" defaultColWidth="9.109375" defaultRowHeight="14.4" x14ac:dyDescent="0.3"/>
  <cols>
    <col min="1" max="1" width="12" customWidth="1"/>
    <col min="2" max="2" width="16" customWidth="1"/>
    <col min="3" max="3" width="12" customWidth="1"/>
    <col min="4" max="15" width="14" customWidth="1"/>
    <col min="16" max="16" width="29.5546875" bestFit="1" customWidth="1"/>
  </cols>
  <sheetData>
    <row r="1" spans="1:16" x14ac:dyDescent="0.3">
      <c r="A1" s="5" t="s">
        <v>130</v>
      </c>
      <c r="B1" s="5" t="s">
        <v>131</v>
      </c>
      <c r="C1" s="5" t="s">
        <v>132</v>
      </c>
      <c r="D1" s="5" t="s">
        <v>133</v>
      </c>
      <c r="E1" s="5" t="s">
        <v>134</v>
      </c>
      <c r="F1" s="5" t="s">
        <v>135</v>
      </c>
      <c r="G1" s="5" t="s">
        <v>169</v>
      </c>
      <c r="H1" s="5" t="s">
        <v>167</v>
      </c>
      <c r="I1" s="5" t="s">
        <v>168</v>
      </c>
      <c r="J1" s="5" t="s">
        <v>136</v>
      </c>
      <c r="K1" s="5" t="s">
        <v>137</v>
      </c>
      <c r="L1" s="5" t="s">
        <v>138</v>
      </c>
      <c r="M1" s="5" t="s">
        <v>165</v>
      </c>
      <c r="N1" s="5" t="s">
        <v>166</v>
      </c>
      <c r="O1" s="5" t="s">
        <v>170</v>
      </c>
      <c r="P1" s="5" t="s">
        <v>87</v>
      </c>
    </row>
    <row r="2" spans="1:16" x14ac:dyDescent="0.3">
      <c r="A2" s="2" t="s">
        <v>139</v>
      </c>
      <c r="B2" s="2" t="s">
        <v>72</v>
      </c>
      <c r="C2" s="8">
        <v>10</v>
      </c>
      <c r="D2" s="6">
        <v>1</v>
      </c>
      <c r="E2" s="6">
        <v>1</v>
      </c>
      <c r="F2" s="6">
        <v>1</v>
      </c>
      <c r="G2" s="6">
        <v>1</v>
      </c>
      <c r="H2" s="6">
        <v>1</v>
      </c>
      <c r="I2" s="6">
        <v>1</v>
      </c>
      <c r="J2" s="8">
        <v>6</v>
      </c>
      <c r="K2" s="8">
        <v>2</v>
      </c>
      <c r="L2" s="8">
        <v>1</v>
      </c>
      <c r="M2" s="8">
        <v>6</v>
      </c>
      <c r="N2" s="8">
        <v>2</v>
      </c>
      <c r="O2" s="8">
        <v>1</v>
      </c>
      <c r="P2" s="6" t="s">
        <v>140</v>
      </c>
    </row>
    <row r="3" spans="1:16" x14ac:dyDescent="0.3">
      <c r="A3" s="2" t="s">
        <v>141</v>
      </c>
      <c r="B3" s="2" t="s">
        <v>72</v>
      </c>
      <c r="C3">
        <v>10</v>
      </c>
      <c r="D3" s="6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8">
        <v>6</v>
      </c>
      <c r="K3" s="8">
        <v>2</v>
      </c>
      <c r="L3" s="8">
        <v>1</v>
      </c>
      <c r="M3" s="8">
        <v>6</v>
      </c>
      <c r="N3" s="8">
        <v>2</v>
      </c>
      <c r="O3" s="8">
        <v>1</v>
      </c>
    </row>
    <row r="4" spans="1:16" x14ac:dyDescent="0.3">
      <c r="A4" s="2" t="s">
        <v>161</v>
      </c>
      <c r="B4" s="2" t="s">
        <v>72</v>
      </c>
      <c r="C4">
        <v>5</v>
      </c>
      <c r="D4" s="6">
        <v>1</v>
      </c>
      <c r="E4" s="6">
        <v>1</v>
      </c>
      <c r="F4" s="6">
        <v>1</v>
      </c>
      <c r="G4" s="6">
        <v>1</v>
      </c>
      <c r="H4" s="6">
        <v>1</v>
      </c>
      <c r="I4" s="6">
        <v>1</v>
      </c>
    </row>
    <row r="5" spans="1:16" x14ac:dyDescent="0.3">
      <c r="A5" s="2" t="s">
        <v>161</v>
      </c>
      <c r="B5" s="2" t="s">
        <v>76</v>
      </c>
      <c r="C5">
        <v>5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</row>
  </sheetData>
  <phoneticPr fontId="7" type="noConversion"/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"/>
  <sheetViews>
    <sheetView workbookViewId="0">
      <selection activeCell="C4" sqref="C4:C5"/>
    </sheetView>
  </sheetViews>
  <sheetFormatPr baseColWidth="10" defaultColWidth="9.109375" defaultRowHeight="14.4" x14ac:dyDescent="0.3"/>
  <cols>
    <col min="1" max="1" width="12" customWidth="1"/>
    <col min="2" max="2" width="16" customWidth="1"/>
    <col min="3" max="8" width="17" customWidth="1"/>
    <col min="9" max="9" width="30" customWidth="1"/>
  </cols>
  <sheetData>
    <row r="1" spans="1:9" x14ac:dyDescent="0.3">
      <c r="A1" s="5" t="s">
        <v>130</v>
      </c>
      <c r="B1" s="5" t="s">
        <v>131</v>
      </c>
      <c r="C1" s="5" t="s">
        <v>142</v>
      </c>
      <c r="D1" s="5" t="s">
        <v>143</v>
      </c>
      <c r="E1" s="5" t="s">
        <v>144</v>
      </c>
      <c r="F1" s="5" t="s">
        <v>171</v>
      </c>
      <c r="G1" s="5" t="s">
        <v>172</v>
      </c>
      <c r="H1" s="5" t="s">
        <v>173</v>
      </c>
      <c r="I1" s="5" t="s">
        <v>145</v>
      </c>
    </row>
    <row r="2" spans="1:9" ht="28.8" x14ac:dyDescent="0.3">
      <c r="A2" s="2" t="s">
        <v>139</v>
      </c>
      <c r="B2" s="2" t="s">
        <v>72</v>
      </c>
      <c r="C2" s="6" t="s">
        <v>157</v>
      </c>
      <c r="D2" s="6"/>
      <c r="E2" s="6"/>
      <c r="F2" s="6"/>
      <c r="G2" s="6"/>
      <c r="H2" s="6"/>
      <c r="I2" s="2" t="s">
        <v>146</v>
      </c>
    </row>
    <row r="3" spans="1:9" x14ac:dyDescent="0.3">
      <c r="A3" s="2" t="s">
        <v>141</v>
      </c>
      <c r="B3" s="2" t="s">
        <v>72</v>
      </c>
      <c r="C3" s="6" t="s">
        <v>157</v>
      </c>
      <c r="D3" s="6"/>
      <c r="E3" s="6"/>
      <c r="F3" s="6"/>
      <c r="G3" s="6"/>
      <c r="H3" s="6"/>
      <c r="I3" s="2"/>
    </row>
    <row r="4" spans="1:9" x14ac:dyDescent="0.3">
      <c r="A4" s="2" t="s">
        <v>161</v>
      </c>
      <c r="B4" s="2" t="s">
        <v>72</v>
      </c>
      <c r="C4" s="6" t="s">
        <v>157</v>
      </c>
      <c r="D4" s="6"/>
      <c r="E4" s="6"/>
      <c r="F4" s="6"/>
      <c r="G4" s="6"/>
      <c r="H4" s="6"/>
      <c r="I4" s="2" t="s">
        <v>147</v>
      </c>
    </row>
    <row r="5" spans="1:9" x14ac:dyDescent="0.3">
      <c r="A5" s="2" t="s">
        <v>161</v>
      </c>
      <c r="B5" s="2" t="s">
        <v>76</v>
      </c>
      <c r="C5" s="6" t="s">
        <v>157</v>
      </c>
    </row>
  </sheetData>
  <phoneticPr fontId="7" type="noConversion"/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Controls!$A$2:$A$5</xm:f>
          </x14:formula1>
          <xm:sqref>C2:H99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workbookViewId="0">
      <selection activeCell="D11" sqref="D11"/>
    </sheetView>
  </sheetViews>
  <sheetFormatPr baseColWidth="10" defaultColWidth="9.109375" defaultRowHeight="14.4" x14ac:dyDescent="0.3"/>
  <cols>
    <col min="1" max="2" width="23" customWidth="1"/>
    <col min="3" max="3" width="30" customWidth="1"/>
    <col min="4" max="5" width="10" customWidth="1"/>
  </cols>
  <sheetData>
    <row r="1" spans="1:5" x14ac:dyDescent="0.3">
      <c r="A1" s="5" t="s">
        <v>148</v>
      </c>
      <c r="B1" s="5" t="s">
        <v>157</v>
      </c>
      <c r="C1" s="5" t="s">
        <v>30</v>
      </c>
      <c r="D1" s="5" t="s">
        <v>31</v>
      </c>
      <c r="E1" s="5" t="s">
        <v>33</v>
      </c>
    </row>
    <row r="2" spans="1:5" x14ac:dyDescent="0.3">
      <c r="A2" s="3" t="s">
        <v>157</v>
      </c>
      <c r="B2" s="3">
        <v>1</v>
      </c>
      <c r="C2" s="6">
        <v>1</v>
      </c>
      <c r="D2" s="6">
        <v>1</v>
      </c>
      <c r="E2" s="6">
        <v>1</v>
      </c>
    </row>
    <row r="3" spans="1:5" x14ac:dyDescent="0.3">
      <c r="A3" s="3" t="s">
        <v>30</v>
      </c>
      <c r="B3" s="3">
        <v>0</v>
      </c>
      <c r="C3" s="6">
        <v>1</v>
      </c>
      <c r="D3" s="6">
        <v>1</v>
      </c>
      <c r="E3" s="6">
        <v>1</v>
      </c>
    </row>
    <row r="4" spans="1:5" x14ac:dyDescent="0.3">
      <c r="A4" s="3" t="s">
        <v>31</v>
      </c>
      <c r="B4" s="3">
        <v>0</v>
      </c>
      <c r="C4" s="6">
        <v>1</v>
      </c>
      <c r="D4" s="6">
        <v>1</v>
      </c>
      <c r="E4" s="6">
        <v>1</v>
      </c>
    </row>
    <row r="5" spans="1:5" x14ac:dyDescent="0.3">
      <c r="A5" s="3" t="s">
        <v>33</v>
      </c>
      <c r="B5" s="3">
        <v>0</v>
      </c>
      <c r="C5" s="6">
        <v>0</v>
      </c>
      <c r="D5" s="6">
        <v>0</v>
      </c>
      <c r="E5" s="6">
        <v>1</v>
      </c>
    </row>
    <row r="6" spans="1:5" x14ac:dyDescent="0.3">
      <c r="A6" s="2"/>
      <c r="B6" s="2"/>
      <c r="C6" s="2"/>
      <c r="D6" s="2"/>
      <c r="E6" s="2"/>
    </row>
    <row r="7" spans="1:5" ht="28.8" x14ac:dyDescent="0.3">
      <c r="A7" s="3" t="s">
        <v>149</v>
      </c>
      <c r="B7" s="3"/>
      <c r="C7" s="2" t="s">
        <v>150</v>
      </c>
      <c r="D7" s="2"/>
      <c r="E7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0"/>
  <sheetViews>
    <sheetView workbookViewId="0">
      <selection activeCell="A19" sqref="A19:A20"/>
    </sheetView>
  </sheetViews>
  <sheetFormatPr baseColWidth="10" defaultColWidth="9.109375" defaultRowHeight="14.4" x14ac:dyDescent="0.3"/>
  <cols>
    <col min="1" max="3" width="16" customWidth="1"/>
    <col min="4" max="4" width="11" customWidth="1"/>
    <col min="5" max="5" width="16" customWidth="1"/>
  </cols>
  <sheetData>
    <row r="1" spans="1:5" x14ac:dyDescent="0.3">
      <c r="A1" s="5" t="s">
        <v>151</v>
      </c>
      <c r="B1" s="5" t="s">
        <v>121</v>
      </c>
      <c r="C1" s="5" t="s">
        <v>122</v>
      </c>
      <c r="D1" s="5" t="s">
        <v>152</v>
      </c>
      <c r="E1" s="5" t="s">
        <v>123</v>
      </c>
    </row>
    <row r="2" spans="1:5" x14ac:dyDescent="0.3">
      <c r="A2" s="7" t="s">
        <v>153</v>
      </c>
      <c r="B2" s="7">
        <f>Params!B15</f>
        <v>50</v>
      </c>
      <c r="C2" s="7">
        <f>Params!B16</f>
        <v>50</v>
      </c>
      <c r="D2" s="9" t="s">
        <v>154</v>
      </c>
      <c r="E2" s="7" t="s">
        <v>1</v>
      </c>
    </row>
    <row r="3" spans="1:5" x14ac:dyDescent="0.3">
      <c r="A3" s="7" t="str">
        <f>Suppliers!A2</f>
        <v>S01</v>
      </c>
      <c r="B3" s="7">
        <f>Suppliers!B2</f>
        <v>18</v>
      </c>
      <c r="C3" s="7">
        <f>Suppliers!C2</f>
        <v>82</v>
      </c>
      <c r="D3" s="9" t="s">
        <v>155</v>
      </c>
      <c r="E3" s="7" t="str">
        <f>Suppliers!D2</f>
        <v>EV</v>
      </c>
    </row>
    <row r="4" spans="1:5" x14ac:dyDescent="0.3">
      <c r="A4" s="7" t="str">
        <f>Suppliers!A3</f>
        <v>S01</v>
      </c>
      <c r="B4" s="7">
        <f>Suppliers!B3</f>
        <v>18</v>
      </c>
      <c r="C4" s="7">
        <f>Suppliers!C3</f>
        <v>82</v>
      </c>
      <c r="D4" s="9" t="s">
        <v>155</v>
      </c>
      <c r="E4" s="7" t="str">
        <f>Suppliers!D3</f>
        <v>V</v>
      </c>
    </row>
    <row r="5" spans="1:5" x14ac:dyDescent="0.3">
      <c r="A5" s="7" t="str">
        <f>Suppliers!A4</f>
        <v>S01</v>
      </c>
      <c r="B5" s="7">
        <f>Suppliers!B4</f>
        <v>18</v>
      </c>
      <c r="C5" s="7">
        <f>Suppliers!C4</f>
        <v>82</v>
      </c>
      <c r="D5" s="9" t="s">
        <v>155</v>
      </c>
      <c r="E5" s="7" t="str">
        <f>Suppliers!D4</f>
        <v>L</v>
      </c>
    </row>
    <row r="6" spans="1:5" x14ac:dyDescent="0.3">
      <c r="A6" s="7" t="str">
        <f>Suppliers!A5</f>
        <v>S02</v>
      </c>
      <c r="B6" s="7">
        <f>Suppliers!B5</f>
        <v>28</v>
      </c>
      <c r="C6" s="7">
        <f>Suppliers!C5</f>
        <v>68</v>
      </c>
      <c r="D6" s="9" t="s">
        <v>155</v>
      </c>
      <c r="E6" s="7" t="str">
        <f>Suppliers!D5</f>
        <v>EV</v>
      </c>
    </row>
    <row r="7" spans="1:5" x14ac:dyDescent="0.3">
      <c r="A7" s="7" t="str">
        <f>Suppliers!A6</f>
        <v>S02</v>
      </c>
      <c r="B7" s="7">
        <f>Suppliers!B6</f>
        <v>28</v>
      </c>
      <c r="C7" s="7">
        <f>Suppliers!C6</f>
        <v>68</v>
      </c>
      <c r="D7" s="9" t="s">
        <v>155</v>
      </c>
      <c r="E7" s="7" t="str">
        <f>Suppliers!D6</f>
        <v>V</v>
      </c>
    </row>
    <row r="8" spans="1:5" x14ac:dyDescent="0.3">
      <c r="A8" s="7" t="str">
        <f>Suppliers!A7</f>
        <v>S02</v>
      </c>
      <c r="B8" s="7">
        <f>Suppliers!B7</f>
        <v>28</v>
      </c>
      <c r="C8" s="7">
        <f>Suppliers!C7</f>
        <v>68</v>
      </c>
      <c r="D8" s="9" t="s">
        <v>155</v>
      </c>
      <c r="E8" s="7" t="str">
        <f>Suppliers!D7</f>
        <v>L</v>
      </c>
    </row>
    <row r="9" spans="1:5" x14ac:dyDescent="0.3">
      <c r="A9" s="7" t="s">
        <v>158</v>
      </c>
      <c r="E9" t="s">
        <v>30</v>
      </c>
    </row>
    <row r="10" spans="1:5" x14ac:dyDescent="0.3">
      <c r="A10" s="7" t="s">
        <v>158</v>
      </c>
      <c r="E10" t="s">
        <v>31</v>
      </c>
    </row>
    <row r="11" spans="1:5" x14ac:dyDescent="0.3">
      <c r="A11" s="7" t="s">
        <v>158</v>
      </c>
      <c r="E11" t="s">
        <v>33</v>
      </c>
    </row>
    <row r="12" spans="1:5" x14ac:dyDescent="0.3">
      <c r="A12" s="7" t="s">
        <v>159</v>
      </c>
      <c r="E12" t="s">
        <v>30</v>
      </c>
    </row>
    <row r="13" spans="1:5" x14ac:dyDescent="0.3">
      <c r="A13" s="7" t="s">
        <v>159</v>
      </c>
      <c r="E13" t="s">
        <v>31</v>
      </c>
    </row>
    <row r="14" spans="1:5" x14ac:dyDescent="0.3">
      <c r="A14" s="7" t="s">
        <v>159</v>
      </c>
      <c r="E14" t="s">
        <v>33</v>
      </c>
    </row>
    <row r="15" spans="1:5" x14ac:dyDescent="0.3">
      <c r="A15" s="7" t="s">
        <v>160</v>
      </c>
      <c r="E15" t="s">
        <v>30</v>
      </c>
    </row>
    <row r="16" spans="1:5" x14ac:dyDescent="0.3">
      <c r="A16" s="7" t="s">
        <v>160</v>
      </c>
      <c r="E16" t="s">
        <v>31</v>
      </c>
    </row>
    <row r="17" spans="1:5" x14ac:dyDescent="0.3">
      <c r="A17" s="7" t="s">
        <v>160</v>
      </c>
      <c r="E17" t="s">
        <v>33</v>
      </c>
    </row>
    <row r="18" spans="1:5" x14ac:dyDescent="0.3">
      <c r="A18" s="7" t="s">
        <v>175</v>
      </c>
      <c r="E18" t="s">
        <v>30</v>
      </c>
    </row>
    <row r="19" spans="1:5" x14ac:dyDescent="0.3">
      <c r="A19" s="7" t="s">
        <v>175</v>
      </c>
      <c r="E19" t="s">
        <v>31</v>
      </c>
    </row>
    <row r="20" spans="1:5" x14ac:dyDescent="0.3">
      <c r="A20" s="7" t="s">
        <v>175</v>
      </c>
      <c r="E20" t="s">
        <v>33</v>
      </c>
    </row>
  </sheetData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"/>
  <sheetViews>
    <sheetView workbookViewId="0">
      <selection activeCell="B10" sqref="B10"/>
    </sheetView>
  </sheetViews>
  <sheetFormatPr baseColWidth="10" defaultColWidth="9.109375" defaultRowHeight="14.4" x14ac:dyDescent="0.3"/>
  <cols>
    <col min="1" max="1" width="12" customWidth="1"/>
    <col min="2" max="4" width="30" customWidth="1"/>
    <col min="5" max="7" width="9.5546875" bestFit="1" customWidth="1"/>
  </cols>
  <sheetData>
    <row r="1" spans="1:8" x14ac:dyDescent="0.3">
      <c r="A1" s="5" t="s">
        <v>156</v>
      </c>
      <c r="B1" s="5" t="str">
        <f>Nodes!A2</f>
        <v>D0</v>
      </c>
      <c r="C1" s="5" t="str">
        <f>Nodes!A3</f>
        <v>S01</v>
      </c>
      <c r="D1" s="5" t="str">
        <f>Nodes!A6</f>
        <v>S02</v>
      </c>
      <c r="E1" t="s">
        <v>158</v>
      </c>
      <c r="F1" t="s">
        <v>159</v>
      </c>
      <c r="G1" t="s">
        <v>160</v>
      </c>
      <c r="H1" t="s">
        <v>175</v>
      </c>
    </row>
    <row r="2" spans="1:8" x14ac:dyDescent="0.3">
      <c r="A2" s="3" t="str">
        <f>Nodes!A2</f>
        <v>D0</v>
      </c>
      <c r="B2" s="13">
        <v>0</v>
      </c>
      <c r="C2" s="13">
        <v>35</v>
      </c>
      <c r="D2" s="13">
        <v>65</v>
      </c>
      <c r="E2" s="14">
        <v>69</v>
      </c>
      <c r="F2" s="14">
        <v>40</v>
      </c>
      <c r="G2" s="14">
        <v>21</v>
      </c>
      <c r="H2">
        <v>50</v>
      </c>
    </row>
    <row r="3" spans="1:8" x14ac:dyDescent="0.3">
      <c r="A3" s="3" t="str">
        <f>Nodes!A3</f>
        <v>S01</v>
      </c>
      <c r="B3" s="13">
        <v>35</v>
      </c>
      <c r="C3" s="13">
        <v>0</v>
      </c>
      <c r="D3" s="13">
        <v>35</v>
      </c>
      <c r="E3" s="14">
        <v>84</v>
      </c>
      <c r="F3" s="14">
        <v>60</v>
      </c>
      <c r="G3" s="14">
        <v>51</v>
      </c>
      <c r="H3">
        <v>57</v>
      </c>
    </row>
    <row r="4" spans="1:8" x14ac:dyDescent="0.3">
      <c r="A4" s="3" t="str">
        <f>Nodes!A6</f>
        <v>S02</v>
      </c>
      <c r="B4" s="13">
        <v>65</v>
      </c>
      <c r="C4" s="13">
        <v>35</v>
      </c>
      <c r="D4" s="13">
        <v>0</v>
      </c>
      <c r="E4" s="14">
        <v>116</v>
      </c>
      <c r="F4" s="14">
        <v>90</v>
      </c>
      <c r="G4" s="14">
        <v>85</v>
      </c>
      <c r="H4">
        <v>71</v>
      </c>
    </row>
    <row r="5" spans="1:8" x14ac:dyDescent="0.3">
      <c r="A5" s="3" t="s">
        <v>158</v>
      </c>
      <c r="B5" s="14">
        <v>69</v>
      </c>
      <c r="C5" s="14">
        <v>84</v>
      </c>
      <c r="D5" s="14">
        <v>116</v>
      </c>
      <c r="E5" s="14">
        <v>0</v>
      </c>
      <c r="F5" s="14">
        <v>50</v>
      </c>
      <c r="G5" s="14">
        <v>80</v>
      </c>
      <c r="H5">
        <v>46</v>
      </c>
    </row>
    <row r="6" spans="1:8" x14ac:dyDescent="0.3">
      <c r="A6" s="3" t="s">
        <v>159</v>
      </c>
      <c r="B6" s="14">
        <v>40</v>
      </c>
      <c r="C6" s="14">
        <v>60</v>
      </c>
      <c r="D6" s="14">
        <v>90</v>
      </c>
      <c r="E6" s="14">
        <v>50</v>
      </c>
      <c r="F6" s="14">
        <v>0</v>
      </c>
      <c r="G6" s="14">
        <v>55</v>
      </c>
      <c r="H6">
        <v>30</v>
      </c>
    </row>
    <row r="7" spans="1:8" x14ac:dyDescent="0.3">
      <c r="A7" t="s">
        <v>160</v>
      </c>
      <c r="B7" s="14">
        <v>21</v>
      </c>
      <c r="C7" s="14">
        <v>51</v>
      </c>
      <c r="D7" s="14">
        <v>85</v>
      </c>
      <c r="E7" s="14">
        <v>80</v>
      </c>
      <c r="F7" s="14">
        <v>55</v>
      </c>
      <c r="G7" s="14">
        <v>0</v>
      </c>
      <c r="H7">
        <v>55</v>
      </c>
    </row>
    <row r="8" spans="1:8" x14ac:dyDescent="0.3">
      <c r="A8" s="3" t="s">
        <v>175</v>
      </c>
      <c r="B8">
        <v>50</v>
      </c>
      <c r="C8">
        <v>57</v>
      </c>
      <c r="D8">
        <v>71</v>
      </c>
      <c r="E8">
        <v>46</v>
      </c>
      <c r="F8">
        <v>30</v>
      </c>
      <c r="G8">
        <v>55</v>
      </c>
      <c r="H8">
        <v>0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README</vt:lpstr>
      <vt:lpstr>Controls</vt:lpstr>
      <vt:lpstr>Instance_Catalog</vt:lpstr>
      <vt:lpstr>Params</vt:lpstr>
      <vt:lpstr>Feuil2</vt:lpstr>
      <vt:lpstr>Suppliers</vt:lpstr>
      <vt:lpstr>Fleet</vt:lpstr>
      <vt:lpstr>Initial_States</vt:lpstr>
      <vt:lpstr>Incompatibility</vt:lpstr>
      <vt:lpstr>Nodes</vt:lpstr>
      <vt:lpstr>Distances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Imed Ghodbeni</dc:creator>
  <cp:lastModifiedBy>Imed Ghodhbeni</cp:lastModifiedBy>
  <dcterms:created xsi:type="dcterms:W3CDTF">2026-04-18T16:24:21Z</dcterms:created>
  <dcterms:modified xsi:type="dcterms:W3CDTF">2026-07-25T15:51:03Z</dcterms:modified>
</cp:coreProperties>
</file>