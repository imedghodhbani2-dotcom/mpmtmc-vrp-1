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16" documentId="13_ncr:1_{A00D2465-AD20-4609-A387-7BEFD612294A}" xr6:coauthVersionLast="47" xr6:coauthVersionMax="47" xr10:uidLastSave="{B6C5DE92-ACD9-4E2A-96EB-6BB9F48F0925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9" l="1"/>
  <c r="C8" i="9"/>
  <c r="B8" i="9"/>
  <c r="E8" i="9"/>
  <c r="E7" i="9"/>
  <c r="E6" i="9"/>
  <c r="A2" i="10"/>
  <c r="B1" i="10"/>
  <c r="C7" i="9"/>
  <c r="B7" i="9"/>
  <c r="A7" i="9"/>
  <c r="C6" i="9"/>
  <c r="B6" i="9"/>
  <c r="A6" i="9"/>
  <c r="D1" i="10" s="1"/>
  <c r="E5" i="9"/>
  <c r="C5" i="9"/>
  <c r="B5" i="9"/>
  <c r="A5" i="9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<sst xmlns="http://schemas.openxmlformats.org/spreadsheetml/2006/main" count="392" uniqueCount="182">
  <si>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</si>
  <si>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</si>
  <si>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</si>
  <si>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</si>
  <si>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</si>
  <si>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</si>
  <si>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</si>
  <si>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</si>
  <si>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</si>
  <si>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</si>
  <si>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</si>
  <si>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</si>
  <si>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</si>
  <si>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</si>
  <si>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</si>
  <si>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</si>
  <si>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</si>
  <si>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</si>
  <si>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</si>
  <si>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</si>
  <si>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</si>
  <si>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</si>
  <si>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</si>
  <si>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</si>
  <si>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</si>
  <si>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</si>
  <si>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</si>
  <si>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</si>
  <si>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</si>
  <si>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</si>
  <si>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</si>
  <si>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</si>
  <si>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</si>
  <si>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</si>
  <si>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</si>
  <si>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</si>
  <si>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</si>
  <si>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</si>
  <si>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</si>
  <si>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</si>
  <si>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</si>
  <si>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</si>
  <si>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</si>
  <si>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</si>
  <si>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</si>
  <si>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</si>
  <si>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</si>
  <si>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</si>
  <si>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</si>
  <si>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</si>
  <si>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</si>
  <si>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</si>
  <si>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</si>
  <si>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</si>
  <si>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</si>
  <si>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</si>
  <si>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</si>
  <si>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</si>
  <si>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</si>
  <si>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</si>
  <si>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</si>
  <si>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</si>
  <si>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</si>
  <si>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</si>
  <si>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</si>
  <si>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</si>
  <si>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</si>
  <si>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</si>
  <si>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</si>
  <si>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</si>
  <si>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</si>
  <si>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</si>
  <si>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</si>
  <si>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</si>
  <si>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</si>
  <si>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</si>
  <si>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</si>
  <si>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</si>
  <si>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</si>
  <si>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</si>
  <si>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</si>
  <si>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</si>
  <si>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</si>
  <si>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</si>
  <si>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</si>
  <si>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</si>
  <si>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</si>
  <si>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</si>
  <si>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</si>
  <si>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</si>
  <si>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</si>
  <si>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</si>
  <si>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</si>
  <si>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</si>
  <si>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</si>
  <si>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</si>
  <si>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</si>
  <si>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</si>
  <si>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</si>
  <si>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</si>
  <si>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</si>
  <si>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</si>
  <si>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</si>
  <si>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</si>
  <si>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</si>
  <si>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</si>
  <si>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</si>
  <si>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</si>
  <si>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</si>
  <si>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</si>
  <si>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</si>
  <si>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</si>
  <si>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</si>
  <si>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</si>
  <si>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</si>
  <si>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</si>
  <si>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</si>
  <si>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</si>
  <si>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</si>
  <si>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</si>
  <si>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</si>
  <si>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</si>
  <si>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</si>
  <si>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</si>
  <si>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</si>
  <si>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</si>
  <si>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</si>
  <si>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</si>
  <si>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</si>
  <si>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S02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</si>
  <si>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</si>
  <si>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</si>
  <si>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</si>
  <si>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</si>
  <si>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</si>
  <si>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</si>
  <si>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</si>
  <si>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</si>
  <si>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</si>
  <si>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</si>
  <si>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</si>
  <si>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</si>
  <si>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</si>
  <si>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</si>
  <si>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</si>
  <si>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</si>
  <si>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</si>
  <si>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</si>
  <si>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</si>
  <si>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</si>
  <si>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</si>
  <si>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</si>
  <si>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</si>
  <si>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</si>
  <si>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</si>
  <si>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</si>
  <si>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</si>
  <si>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</si>
  <si>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</si>
  <si>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</si>
  <si>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</si>
  <si>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</si>
  <si>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</si>
  <si>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</si>
  <si>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</si>
  <si>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</si>
  <si>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</si>
  <si>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</si>
  <si>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</si>
  <si>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</si>
  <si>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</si>
  <si>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</si>
  <si>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</si>
  <si>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</si>
  <si>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LoadingTimePerTon</t>
  </si>
  <si>
    <t>S06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</si>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</sst>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34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34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34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34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34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9F819C03-9BB8-8A1E-DDB0-CD4F9A156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34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09BFEEB-BCBF-86F7-8E77-63BE7B708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43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D7F2D79E-34E8-D27E-779C-1BCB86BF85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48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9312021-FBC4-54B5-4CB1-024326716A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B6EFB957-0051-46E1-94DD-67B4338D9F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4FF9494B-ECAF-4282-8B07-04DAE97416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6FC7DDCC-680F-4ABC-85CA-FD3D5F4EEB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E9C6749-800F-4491-8782-F01D3F582A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2306B97B-C6D7-4DBC-8E4E-9CFB8D212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2D97362-511D-4C2A-B137-26AAD70508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CB79B734-638C-4306-AE0A-05EA748BBC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8DA429C5-5E77-4758-BD9B-A80DDAD5BF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44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47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F1D04682-9C52-4AEA-874A-6DBF1F874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E8AFFBA-EBA0-586B-7B93-E0929C832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6B15A75F-B9BE-4611-1A15-0AB3E73BFF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A9192E7-0A2B-F300-4E84-A6D5AD5E6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9CE937CC-7C64-44D1-BB87-FA5EA13167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61B01D54-097B-422A-886A-3143A49105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D77AA5CE-3B46-459C-84EB-FEC5F952AA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02560D62-BB8D-4A4A-B442-38C9716FD3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B715559F-D7ED-4010-9BB1-CEDFF2AA20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71440898-877F-4F28-BE11-96137A8A9A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EFCD7D0C-2BAA-4434-9DE3-7D6D178EFA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D9C8188E-2B67-43F7-BDA4-A1E04EA7BD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A40D4C5-45C6-68B2-1CB8-19F60154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9DB76EB-06F6-8FFE-10E3-3A83CC6BD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12BD06B4-2340-7F58-ED7E-6F9C381E06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04FF0DB-23DE-DD2C-4461-6825993B9C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61F58083-5E58-4D4B-A782-6CED0DF25A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9AD4E43A-21A2-45AF-8958-DB9ECC87FD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263DAD44-B942-427D-923F-264CD3D624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6484A33F-27D1-4C0F-9F9B-75B5B0FC64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00391F91-B99B-4C01-B301-E5FB32A406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42170672-08F3-4606-9077-EE92E526DE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0" name="AutoShape 2">
          <a:extLst>
            <a:ext uri="{FF2B5EF4-FFF2-40B4-BE49-F238E27FC236}">
              <a16:creationId xmlns:a16="http://schemas.microsoft.com/office/drawing/2014/main" id="{8EDA8924-B589-449C-A2E4-328CA75BBF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5D642384-D8E1-4950-A882-F4C14C2687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9" workbookViewId="0">
      <selection activeCell="A32" sqref="A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1" t="s">
        <v>174</v>
      </c>
      <c r="B6" s="12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SUM(Suppliers!E2:E6)</f>
        <v>4.5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SUM(Suppliers!F2:F6)</f>
        <v>1.5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SUM(Suppliers!G2:G6)</f>
        <v>4.5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COUNTIFS(Fleet!D2:D2,1)+COUNTIFS(Fleet!E2:E2,1)+COUNTIFS(Fleet!F2:F2,1)</f>
        <v>3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SUMPRODUCT(Fleet!$C$2:$C$2,Fleet!$D$2:$D$2)*$B$17</f>
        <v>30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SUMPRODUCT(Fleet!$C$2:$C$2,Fleet!$E$2:$E$2)*$B$17</f>
        <v>30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SUMPRODUCT(Fleet!$C$2:$C$2,Fleet!$F$2:$F$2)*$B$17</f>
        <v>30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0.15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0.05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0.15</v>
      </c>
      <c r="C31" s="2" t="s">
        <v>91</v>
      </c>
      <c r="D31" s="2" t="s">
        <v>117</v>
      </c>
    </row>
    <row r="32" spans="1:4" x14ac:dyDescent="0.3">
      <c r="A32" t="s">
        <v>176</v>
      </c>
      <c r="B32">
        <v>5400</v>
      </c>
    </row>
    <row r="33" spans="1:2" x14ac:dyDescent="0.3">
      <c r="A33" t="s">
        <v>177</v>
      </c>
      <c r="B33">
        <v>5400</v>
      </c>
    </row>
    <row r="34" spans="1:2" x14ac:dyDescent="0.3">
      <c r="A34" t="s">
        <v>178</v>
      </c>
      <c r="B34">
        <v>5400</v>
      </c>
    </row>
    <row r="35" spans="1:2" x14ac:dyDescent="0.3">
      <c r="A35" t="s">
        <v>179</v>
      </c>
      <c r="B35">
        <v>5400</v>
      </c>
    </row>
    <row r="36" spans="1:2" x14ac:dyDescent="0.3">
      <c r="A36" t="s">
        <v>180</v>
      </c>
      <c r="B36">
        <v>5400</v>
      </c>
    </row>
    <row r="37" spans="1:2" x14ac:dyDescent="0.3">
      <c r="A37" t="s">
        <v>181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9"/>
  <sheetViews>
    <sheetView topLeftCell="C1" workbookViewId="0">
      <selection activeCell="E19" sqref="E19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2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162</v>
      </c>
      <c r="I1" s="5" t="s">
        <v>163</v>
      </c>
      <c r="J1" s="5" t="s">
        <v>164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>
        <v>4.5</v>
      </c>
      <c r="F2">
        <v>1.5</v>
      </c>
      <c r="G2">
        <v>4.5</v>
      </c>
      <c r="H2">
        <v>4.55</v>
      </c>
      <c r="I2">
        <v>0</v>
      </c>
      <c r="J2">
        <v>5</v>
      </c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>
        <v>0</v>
      </c>
      <c r="F3">
        <v>0</v>
      </c>
      <c r="G3">
        <v>0</v>
      </c>
      <c r="H3">
        <v>2.5</v>
      </c>
      <c r="I3">
        <v>0</v>
      </c>
      <c r="J3">
        <v>0</v>
      </c>
    </row>
    <row r="4" spans="1:12" x14ac:dyDescent="0.3">
      <c r="A4" s="2" t="s">
        <v>128</v>
      </c>
      <c r="B4" s="8">
        <v>18</v>
      </c>
      <c r="C4" s="8">
        <v>82</v>
      </c>
      <c r="D4" s="6" t="s">
        <v>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2" x14ac:dyDescent="0.3">
      <c r="A5" s="2" t="s">
        <v>129</v>
      </c>
      <c r="B5" s="8">
        <v>28</v>
      </c>
      <c r="C5" s="8">
        <v>68</v>
      </c>
      <c r="D5" s="6" t="s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2" x14ac:dyDescent="0.3">
      <c r="A6" s="2" t="s">
        <v>129</v>
      </c>
      <c r="B6" s="8">
        <v>28</v>
      </c>
      <c r="C6" s="8">
        <v>68</v>
      </c>
      <c r="D6" s="6" t="s">
        <v>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2" x14ac:dyDescent="0.3">
      <c r="A7" s="2" t="s">
        <v>129</v>
      </c>
      <c r="B7" s="8">
        <v>28</v>
      </c>
      <c r="C7" s="8">
        <v>68</v>
      </c>
      <c r="D7" s="6" t="s">
        <v>33</v>
      </c>
      <c r="E7">
        <v>3.5</v>
      </c>
      <c r="F7">
        <v>3.36</v>
      </c>
      <c r="G7">
        <v>0</v>
      </c>
      <c r="H7">
        <v>0</v>
      </c>
      <c r="I7">
        <v>0</v>
      </c>
      <c r="J7">
        <v>0</v>
      </c>
    </row>
    <row r="8" spans="1:12" x14ac:dyDescent="0.3">
      <c r="A8" s="7" t="s">
        <v>158</v>
      </c>
      <c r="D8" t="s">
        <v>30</v>
      </c>
      <c r="E8">
        <v>4.5</v>
      </c>
      <c r="F8">
        <v>5</v>
      </c>
      <c r="G8">
        <v>1.5</v>
      </c>
      <c r="H8">
        <v>5</v>
      </c>
      <c r="I8">
        <v>5</v>
      </c>
      <c r="J8">
        <v>10</v>
      </c>
    </row>
    <row r="9" spans="1:12" x14ac:dyDescent="0.3">
      <c r="A9" s="7" t="s">
        <v>158</v>
      </c>
      <c r="D9" t="s">
        <v>31</v>
      </c>
      <c r="E9">
        <v>0</v>
      </c>
      <c r="F9">
        <v>0</v>
      </c>
      <c r="G9">
        <v>5</v>
      </c>
      <c r="H9">
        <v>4</v>
      </c>
      <c r="I9">
        <v>5</v>
      </c>
      <c r="J9">
        <v>3.5</v>
      </c>
    </row>
    <row r="10" spans="1:12" x14ac:dyDescent="0.3">
      <c r="A10" s="7" t="s">
        <v>158</v>
      </c>
      <c r="D10" t="s">
        <v>33</v>
      </c>
      <c r="E10">
        <v>3</v>
      </c>
      <c r="F10">
        <v>2.5</v>
      </c>
      <c r="G10">
        <v>0</v>
      </c>
      <c r="H10">
        <v>0</v>
      </c>
      <c r="I10">
        <v>0</v>
      </c>
      <c r="J10">
        <v>0</v>
      </c>
    </row>
    <row r="11" spans="1:12" x14ac:dyDescent="0.3">
      <c r="A11" s="7" t="s">
        <v>159</v>
      </c>
      <c r="D11" t="s">
        <v>30</v>
      </c>
      <c r="E11">
        <v>3.5</v>
      </c>
      <c r="F11">
        <v>3.5</v>
      </c>
      <c r="G11">
        <v>3</v>
      </c>
      <c r="H11">
        <v>0</v>
      </c>
      <c r="I11">
        <v>10</v>
      </c>
      <c r="J11">
        <v>4.76</v>
      </c>
    </row>
    <row r="12" spans="1:12" x14ac:dyDescent="0.3">
      <c r="A12" s="7" t="s">
        <v>159</v>
      </c>
      <c r="D12" t="s">
        <v>31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 spans="1:12" x14ac:dyDescent="0.3">
      <c r="A13" s="7" t="s">
        <v>159</v>
      </c>
      <c r="D13" t="s">
        <v>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2" x14ac:dyDescent="0.3">
      <c r="A14" s="7" t="s">
        <v>160</v>
      </c>
      <c r="D14" t="s">
        <v>30</v>
      </c>
      <c r="E14">
        <v>5</v>
      </c>
      <c r="F14">
        <v>5</v>
      </c>
      <c r="G14">
        <v>0</v>
      </c>
      <c r="H14">
        <v>0</v>
      </c>
      <c r="I14">
        <v>0</v>
      </c>
      <c r="J14">
        <v>0</v>
      </c>
    </row>
    <row r="15" spans="1:12" x14ac:dyDescent="0.3">
      <c r="A15" s="7" t="s">
        <v>160</v>
      </c>
      <c r="D15" t="s">
        <v>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2" x14ac:dyDescent="0.3">
      <c r="A16" s="7" t="s">
        <v>160</v>
      </c>
      <c r="D16" t="s">
        <v>33</v>
      </c>
      <c r="E16">
        <v>3</v>
      </c>
      <c r="F16">
        <v>2</v>
      </c>
      <c r="G16">
        <v>0</v>
      </c>
      <c r="H16">
        <v>0</v>
      </c>
      <c r="I16">
        <v>0</v>
      </c>
      <c r="J16">
        <v>0</v>
      </c>
    </row>
    <row r="17" spans="1:10" x14ac:dyDescent="0.3">
      <c r="A17" s="7" t="s">
        <v>175</v>
      </c>
      <c r="D17" t="s">
        <v>30</v>
      </c>
      <c r="E17">
        <v>1.5</v>
      </c>
      <c r="F17">
        <v>3.5</v>
      </c>
      <c r="G17">
        <v>4.66</v>
      </c>
      <c r="H17">
        <v>0</v>
      </c>
      <c r="I17">
        <v>0</v>
      </c>
      <c r="J17">
        <v>0</v>
      </c>
    </row>
    <row r="18" spans="1:10" x14ac:dyDescent="0.3">
      <c r="A18" s="7" t="s">
        <v>175</v>
      </c>
      <c r="D18" t="s">
        <v>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s="7" t="s">
        <v>175</v>
      </c>
      <c r="D19" t="s">
        <v>33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J23:J36 K2:L19 C2:E21 C40:E67 C22:C39 M3:P16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>
      <selection activeCell="A6" sqref="A6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169</v>
      </c>
      <c r="H1" s="5" t="s">
        <v>167</v>
      </c>
      <c r="I1" s="5" t="s">
        <v>168</v>
      </c>
      <c r="J1" s="5" t="s">
        <v>136</v>
      </c>
      <c r="K1" s="5" t="s">
        <v>137</v>
      </c>
      <c r="L1" s="5" t="s">
        <v>138</v>
      </c>
      <c r="M1" s="5" t="s">
        <v>165</v>
      </c>
      <c r="N1" s="5" t="s">
        <v>166</v>
      </c>
      <c r="O1" s="5" t="s">
        <v>170</v>
      </c>
      <c r="P1" s="5" t="s">
        <v>87</v>
      </c>
    </row>
    <row r="2" spans="1:16" x14ac:dyDescent="0.3">
      <c r="A2" s="2" t="s">
        <v>161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140</v>
      </c>
    </row>
    <row r="3" spans="1:16" x14ac:dyDescent="0.3">
      <c r="A3" s="2" t="s">
        <v>141</v>
      </c>
      <c r="B3" s="2" t="s">
        <v>72</v>
      </c>
      <c r="C3">
        <v>5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</row>
    <row r="4" spans="1:16" x14ac:dyDescent="0.3">
      <c r="A4" s="2" t="s">
        <v>141</v>
      </c>
      <c r="B4" s="2" t="s">
        <v>76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3">
      <c r="A5" s="2" t="s">
        <v>139</v>
      </c>
      <c r="B5" s="2" t="s">
        <v>72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16" x14ac:dyDescent="0.3">
      <c r="A6" s="2" t="s">
        <v>139</v>
      </c>
      <c r="B6" s="2" t="s">
        <v>76</v>
      </c>
      <c r="C6">
        <v>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B10" sqref="B10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130</v>
      </c>
      <c r="B1" s="5" t="s">
        <v>131</v>
      </c>
      <c r="C1" s="5" t="s">
        <v>142</v>
      </c>
      <c r="D1" s="5" t="s">
        <v>143</v>
      </c>
      <c r="E1" s="5" t="s">
        <v>144</v>
      </c>
      <c r="F1" s="5" t="s">
        <v>171</v>
      </c>
      <c r="G1" s="5" t="s">
        <v>172</v>
      </c>
      <c r="H1" s="5" t="s">
        <v>173</v>
      </c>
      <c r="I1" s="5" t="s">
        <v>145</v>
      </c>
    </row>
    <row r="2" spans="1:9" ht="28.8" x14ac:dyDescent="0.3">
      <c r="A2" s="2" t="s">
        <v>161</v>
      </c>
      <c r="B2" s="2" t="s">
        <v>72</v>
      </c>
      <c r="C2" s="6" t="s">
        <v>157</v>
      </c>
      <c r="D2" s="6"/>
      <c r="E2" s="6"/>
      <c r="F2" s="6"/>
      <c r="G2" s="6"/>
      <c r="H2" s="6"/>
      <c r="I2" s="2" t="s">
        <v>146</v>
      </c>
    </row>
    <row r="3" spans="1:9" x14ac:dyDescent="0.3">
      <c r="A3" s="2" t="s">
        <v>141</v>
      </c>
      <c r="B3" s="2" t="s">
        <v>72</v>
      </c>
      <c r="C3" s="6" t="s">
        <v>157</v>
      </c>
      <c r="D3" s="6"/>
      <c r="E3" s="6"/>
      <c r="F3" s="6"/>
      <c r="G3" s="6"/>
      <c r="H3" s="6"/>
      <c r="I3" s="2"/>
    </row>
    <row r="4" spans="1:9" x14ac:dyDescent="0.3">
      <c r="A4" s="2" t="s">
        <v>141</v>
      </c>
      <c r="B4" s="2" t="s">
        <v>76</v>
      </c>
      <c r="C4" s="6" t="s">
        <v>157</v>
      </c>
      <c r="D4" s="6"/>
      <c r="E4" s="6"/>
      <c r="F4" s="6"/>
      <c r="G4" s="6"/>
      <c r="H4" s="6"/>
      <c r="I4" s="2" t="s">
        <v>147</v>
      </c>
    </row>
    <row r="5" spans="1:9" x14ac:dyDescent="0.3">
      <c r="A5" s="2" t="s">
        <v>139</v>
      </c>
      <c r="B5" s="2" t="s">
        <v>72</v>
      </c>
      <c r="C5" s="6" t="s">
        <v>157</v>
      </c>
      <c r="D5" s="6"/>
      <c r="E5" s="6"/>
      <c r="F5" s="6"/>
      <c r="G5" s="6"/>
      <c r="H5" s="6"/>
      <c r="I5" s="2" t="s">
        <v>147</v>
      </c>
    </row>
    <row r="6" spans="1:9" x14ac:dyDescent="0.3">
      <c r="A6" s="2" t="s">
        <v>139</v>
      </c>
      <c r="B6" s="2" t="s">
        <v>76</v>
      </c>
      <c r="C6" s="6" t="s">
        <v>157</v>
      </c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C2:H100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D11" sqref="D11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5" width="10" customWidth="1"/>
  </cols>
  <sheetData>
    <row r="1" spans="1:5" x14ac:dyDescent="0.3">
      <c r="A1" s="5" t="s">
        <v>148</v>
      </c>
      <c r="B1" s="5" t="s">
        <v>157</v>
      </c>
      <c r="C1" s="5" t="s">
        <v>30</v>
      </c>
      <c r="D1" s="5" t="s">
        <v>31</v>
      </c>
      <c r="E1" s="5" t="s">
        <v>33</v>
      </c>
    </row>
    <row r="2" spans="1:5" x14ac:dyDescent="0.3">
      <c r="A2" s="3" t="s">
        <v>157</v>
      </c>
      <c r="B2" s="3">
        <v>1</v>
      </c>
      <c r="C2" s="6">
        <v>1</v>
      </c>
      <c r="D2" s="6">
        <v>1</v>
      </c>
      <c r="E2" s="6">
        <v>1</v>
      </c>
    </row>
    <row r="3" spans="1:5" x14ac:dyDescent="0.3">
      <c r="A3" s="3" t="s">
        <v>30</v>
      </c>
      <c r="B3" s="3">
        <v>0</v>
      </c>
      <c r="C3" s="6">
        <v>1</v>
      </c>
      <c r="D3" s="6">
        <v>1</v>
      </c>
      <c r="E3" s="6">
        <v>1</v>
      </c>
    </row>
    <row r="4" spans="1:5" x14ac:dyDescent="0.3">
      <c r="A4" s="3" t="s">
        <v>31</v>
      </c>
      <c r="B4" s="3">
        <v>0</v>
      </c>
      <c r="C4" s="6">
        <v>1</v>
      </c>
      <c r="D4" s="6">
        <v>1</v>
      </c>
      <c r="E4" s="6">
        <v>1</v>
      </c>
    </row>
    <row r="5" spans="1:5" x14ac:dyDescent="0.3">
      <c r="A5" s="3" t="s">
        <v>33</v>
      </c>
      <c r="B5" s="3">
        <v>0</v>
      </c>
      <c r="C5" s="6">
        <v>0</v>
      </c>
      <c r="D5" s="6">
        <v>0</v>
      </c>
      <c r="E5" s="6">
        <v>1</v>
      </c>
    </row>
    <row r="6" spans="1:5" x14ac:dyDescent="0.3">
      <c r="A6" s="2"/>
      <c r="B6" s="2"/>
      <c r="C6" s="2"/>
      <c r="D6" s="2"/>
      <c r="E6" s="2"/>
    </row>
    <row r="7" spans="1:5" ht="28.8" x14ac:dyDescent="0.3">
      <c r="A7" s="3" t="s">
        <v>149</v>
      </c>
      <c r="B7" s="3"/>
      <c r="C7" s="2" t="s">
        <v>150</v>
      </c>
      <c r="D7" s="2"/>
      <c r="E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0"/>
  <sheetViews>
    <sheetView topLeftCell="A7" workbookViewId="0">
      <selection activeCell="D24" sqref="D24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151</v>
      </c>
      <c r="B1" s="5" t="s">
        <v>121</v>
      </c>
      <c r="C1" s="5" t="s">
        <v>122</v>
      </c>
      <c r="D1" s="5" t="s">
        <v>152</v>
      </c>
      <c r="E1" s="5" t="s">
        <v>123</v>
      </c>
    </row>
    <row r="2" spans="1:5" x14ac:dyDescent="0.3">
      <c r="A2" s="7" t="s">
        <v>153</v>
      </c>
      <c r="B2" s="7">
        <f>Params!B15</f>
        <v>50</v>
      </c>
      <c r="C2" s="7">
        <f>Params!B16</f>
        <v>50</v>
      </c>
      <c r="D2" s="9" t="s">
        <v>154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155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155</v>
      </c>
      <c r="E4" s="7" t="str">
        <f>Suppliers!D3</f>
        <v>V</v>
      </c>
    </row>
    <row r="5" spans="1:5" x14ac:dyDescent="0.3">
      <c r="A5" s="7" t="str">
        <f>Suppliers!A4</f>
        <v>S01</v>
      </c>
      <c r="B5" s="7">
        <f>Suppliers!B4</f>
        <v>18</v>
      </c>
      <c r="C5" s="7">
        <f>Suppliers!C4</f>
        <v>82</v>
      </c>
      <c r="D5" s="9" t="s">
        <v>155</v>
      </c>
      <c r="E5" s="7" t="str">
        <f>Suppliers!D4</f>
        <v>L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155</v>
      </c>
      <c r="E6" s="7" t="str">
        <f>Suppliers!D5</f>
        <v>EV</v>
      </c>
    </row>
    <row r="7" spans="1:5" x14ac:dyDescent="0.3">
      <c r="A7" s="7" t="str">
        <f>Suppliers!A6</f>
        <v>S02</v>
      </c>
      <c r="B7" s="7">
        <f>Suppliers!B6</f>
        <v>28</v>
      </c>
      <c r="C7" s="7">
        <f>Suppliers!C6</f>
        <v>68</v>
      </c>
      <c r="D7" s="9" t="s">
        <v>155</v>
      </c>
      <c r="E7" s="7" t="str">
        <f>Suppliers!D6</f>
        <v>V</v>
      </c>
    </row>
    <row r="8" spans="1:5" x14ac:dyDescent="0.3">
      <c r="A8" s="7" t="str">
        <f>Suppliers!A7</f>
        <v>S02</v>
      </c>
      <c r="B8" s="7">
        <f>Suppliers!B7</f>
        <v>28</v>
      </c>
      <c r="C8" s="7">
        <f>Suppliers!C7</f>
        <v>68</v>
      </c>
      <c r="D8" s="9" t="s">
        <v>155</v>
      </c>
      <c r="E8" s="7" t="str">
        <f>Suppliers!D7</f>
        <v>L</v>
      </c>
    </row>
    <row r="9" spans="1:5" x14ac:dyDescent="0.3">
      <c r="A9" s="7" t="s">
        <v>158</v>
      </c>
      <c r="E9" t="s">
        <v>30</v>
      </c>
    </row>
    <row r="10" spans="1:5" x14ac:dyDescent="0.3">
      <c r="A10" s="7" t="s">
        <v>158</v>
      </c>
      <c r="E10" t="s">
        <v>31</v>
      </c>
    </row>
    <row r="11" spans="1:5" x14ac:dyDescent="0.3">
      <c r="A11" s="7" t="s">
        <v>158</v>
      </c>
      <c r="E11" t="s">
        <v>33</v>
      </c>
    </row>
    <row r="12" spans="1:5" x14ac:dyDescent="0.3">
      <c r="A12" s="7" t="s">
        <v>159</v>
      </c>
      <c r="E12" t="s">
        <v>30</v>
      </c>
    </row>
    <row r="13" spans="1:5" x14ac:dyDescent="0.3">
      <c r="A13" s="7" t="s">
        <v>159</v>
      </c>
      <c r="E13" t="s">
        <v>31</v>
      </c>
    </row>
    <row r="14" spans="1:5" x14ac:dyDescent="0.3">
      <c r="A14" s="7" t="s">
        <v>159</v>
      </c>
      <c r="E14" t="s">
        <v>33</v>
      </c>
    </row>
    <row r="15" spans="1:5" x14ac:dyDescent="0.3">
      <c r="A15" s="7" t="s">
        <v>160</v>
      </c>
      <c r="E15" t="s">
        <v>30</v>
      </c>
    </row>
    <row r="16" spans="1:5" x14ac:dyDescent="0.3">
      <c r="A16" s="7" t="s">
        <v>160</v>
      </c>
      <c r="E16" t="s">
        <v>31</v>
      </c>
    </row>
    <row r="17" spans="1:5" x14ac:dyDescent="0.3">
      <c r="A17" s="7" t="s">
        <v>160</v>
      </c>
      <c r="E17" t="s">
        <v>33</v>
      </c>
    </row>
    <row r="18" spans="1:5" x14ac:dyDescent="0.3">
      <c r="A18" s="7" t="s">
        <v>175</v>
      </c>
      <c r="E18" t="s">
        <v>30</v>
      </c>
    </row>
    <row r="19" spans="1:5" x14ac:dyDescent="0.3">
      <c r="A19" s="7" t="s">
        <v>175</v>
      </c>
      <c r="E19" t="s">
        <v>31</v>
      </c>
    </row>
    <row r="20" spans="1:5" x14ac:dyDescent="0.3">
      <c r="A20" s="7" t="s">
        <v>175</v>
      </c>
      <c r="E20" t="s">
        <v>33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B10" sqref="B10:H16"/>
    </sheetView>
  </sheetViews>
  <sheetFormatPr baseColWidth="10" defaultColWidth="9.109375" defaultRowHeight="14.4" x14ac:dyDescent="0.3"/>
  <cols>
    <col min="1" max="1" width="12" customWidth="1"/>
    <col min="2" max="4" width="30" customWidth="1"/>
    <col min="5" max="7" width="9.5546875" bestFit="1" customWidth="1"/>
  </cols>
  <sheetData>
    <row r="1" spans="1:8" x14ac:dyDescent="0.3">
      <c r="A1" s="5" t="s">
        <v>156</v>
      </c>
      <c r="B1" s="5" t="str">
        <f>Nodes!A2</f>
        <v>D0</v>
      </c>
      <c r="C1" s="5" t="str">
        <f>Nodes!A3</f>
        <v>S01</v>
      </c>
      <c r="D1" s="5" t="str">
        <f>Nodes!A6</f>
        <v>S02</v>
      </c>
      <c r="E1" t="s">
        <v>158</v>
      </c>
      <c r="F1" t="s">
        <v>159</v>
      </c>
      <c r="G1" t="s">
        <v>160</v>
      </c>
      <c r="H1" t="s">
        <v>175</v>
      </c>
    </row>
    <row r="2" spans="1:8" x14ac:dyDescent="0.3">
      <c r="A2" s="3" t="str">
        <f>Nodes!A2</f>
        <v>D0</v>
      </c>
      <c r="B2" s="13">
        <v>0</v>
      </c>
      <c r="C2" s="13">
        <v>35</v>
      </c>
      <c r="D2" s="13">
        <v>65</v>
      </c>
      <c r="E2" s="14">
        <v>69</v>
      </c>
      <c r="F2" s="14">
        <v>40</v>
      </c>
      <c r="G2" s="14">
        <v>21</v>
      </c>
      <c r="H2">
        <v>50</v>
      </c>
    </row>
    <row r="3" spans="1:8" x14ac:dyDescent="0.3">
      <c r="A3" s="3" t="str">
        <f>Nodes!A3</f>
        <v>S01</v>
      </c>
      <c r="B3" s="13">
        <v>35</v>
      </c>
      <c r="C3" s="13">
        <v>0</v>
      </c>
      <c r="D3" s="13">
        <v>35</v>
      </c>
      <c r="E3" s="14">
        <v>84</v>
      </c>
      <c r="F3" s="14">
        <v>60</v>
      </c>
      <c r="G3" s="14">
        <v>51</v>
      </c>
      <c r="H3">
        <v>57</v>
      </c>
    </row>
    <row r="4" spans="1:8" x14ac:dyDescent="0.3">
      <c r="A4" s="3" t="str">
        <f>Nodes!A6</f>
        <v>S02</v>
      </c>
      <c r="B4" s="13">
        <v>65</v>
      </c>
      <c r="C4" s="13">
        <v>35</v>
      </c>
      <c r="D4" s="13">
        <v>0</v>
      </c>
      <c r="E4" s="14">
        <v>116</v>
      </c>
      <c r="F4" s="14">
        <v>90</v>
      </c>
      <c r="G4" s="14">
        <v>85</v>
      </c>
      <c r="H4">
        <v>71</v>
      </c>
    </row>
    <row r="5" spans="1:8" x14ac:dyDescent="0.3">
      <c r="A5" s="3" t="s">
        <v>158</v>
      </c>
      <c r="B5" s="14">
        <v>69</v>
      </c>
      <c r="C5" s="14">
        <v>84</v>
      </c>
      <c r="D5" s="14">
        <v>116</v>
      </c>
      <c r="E5" s="14">
        <v>0</v>
      </c>
      <c r="F5" s="14">
        <v>50</v>
      </c>
      <c r="G5" s="14">
        <v>80</v>
      </c>
      <c r="H5">
        <v>46</v>
      </c>
    </row>
    <row r="6" spans="1:8" x14ac:dyDescent="0.3">
      <c r="A6" s="3" t="s">
        <v>159</v>
      </c>
      <c r="B6" s="14">
        <v>40</v>
      </c>
      <c r="C6" s="14">
        <v>60</v>
      </c>
      <c r="D6" s="14">
        <v>90</v>
      </c>
      <c r="E6" s="14">
        <v>50</v>
      </c>
      <c r="F6" s="14">
        <v>0</v>
      </c>
      <c r="G6" s="14">
        <v>55</v>
      </c>
      <c r="H6">
        <v>30</v>
      </c>
    </row>
    <row r="7" spans="1:8" x14ac:dyDescent="0.3">
      <c r="A7" t="s">
        <v>160</v>
      </c>
      <c r="B7" s="14">
        <v>21</v>
      </c>
      <c r="C7" s="14">
        <v>51</v>
      </c>
      <c r="D7" s="14">
        <v>85</v>
      </c>
      <c r="E7" s="14">
        <v>80</v>
      </c>
      <c r="F7" s="14">
        <v>55</v>
      </c>
      <c r="G7" s="14">
        <v>0</v>
      </c>
      <c r="H7">
        <v>55</v>
      </c>
    </row>
    <row r="8" spans="1:8" x14ac:dyDescent="0.3">
      <c r="A8" s="3" t="s">
        <v>175</v>
      </c>
      <c r="B8">
        <v>50</v>
      </c>
      <c r="C8">
        <v>57</v>
      </c>
      <c r="D8">
        <v>71</v>
      </c>
      <c r="E8">
        <v>46</v>
      </c>
      <c r="F8">
        <v>30</v>
      </c>
      <c r="G8">
        <v>55</v>
      </c>
      <c r="H8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2026-07-19T11:06:49Z</dcterms:modified>
</cp:coreProperties>
</file>