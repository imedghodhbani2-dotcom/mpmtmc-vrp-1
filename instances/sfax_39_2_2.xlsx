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6" documentId="13_ncr:1_{E7499116-2066-4BC1-91F1-18977BF7DB85}" xr6:coauthVersionLast="47" xr6:coauthVersionMax="47" xr10:uidLastSave="{00D7F077-AB1A-4D76-98DF-49A0CBD15746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4" l="1"/>
  <c r="B22" i="4"/>
  <c r="B23" i="4"/>
  <c r="E6" i="9"/>
  <c r="E5" i="9"/>
  <c r="A2" i="10"/>
  <c r="B1" i="10"/>
  <c r="A6" i="9"/>
  <c r="A5" i="9"/>
  <c r="D1" i="10" s="1"/>
  <c r="E4" i="9"/>
  <c r="A4" i="9"/>
  <c r="E3" i="9"/>
  <c r="A3" i="9"/>
  <c r="C1" i="10" s="1"/>
  <c r="B28" i="4"/>
  <c r="B27" i="4"/>
  <c r="B26" i="4"/>
  <c r="B25" i="4"/>
  <c r="B14" i="4"/>
  <c r="B13" i="4"/>
  <c r="B12" i="4"/>
  <c r="B11" i="4"/>
  <c r="B10" i="4"/>
  <c r="B9" i="4"/>
  <c r="B8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<sst xmlns="http://schemas.openxmlformats.org/spreadsheetml/2006/main" count="384" uniqueCount="184">
  <si>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</si>
  <si>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</si>
  <si>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</si>
  <si>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</si>
  <si>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</si>
  <si>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</si>
  <si>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</si>
  <si>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</si>
  <si>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</si>
  <si>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</si>
  <si>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</si>
  <si>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</si>
  <si>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</si>
  <si>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</si>
  <si>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</si>
  <si>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</si>
  <si>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</si>
  <si>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</si>
  <si>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</si>
  <si>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</si>
  <si>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</si>
  <si>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</si>
  <si>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</si>
  <si>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</si>
  <si>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</si>
  <si>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</si>
  <si>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</si>
  <si>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</si>
  <si>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</si>
  <si>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</si>
  <si>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</si>
  <si>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</si>
  <si>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</si>
  <si>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</si>
  <si>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</si>
  <si>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</si>
  <si>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</si>
  <si>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</si>
  <si>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</si>
  <si>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</si>
  <si>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</si>
  <si>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</si>
  <si>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</si>
  <si>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</si>
  <si>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</si>
  <si>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</si>
  <si>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</si>
  <si>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</si>
  <si>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</si>
  <si>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</si>
  <si>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</si>
  <si>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</si>
  <si>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</si>
  <si>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</si>
  <si>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</si>
  <si>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</si>
  <si>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</si>
  <si>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</si>
  <si>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</si>
  <si>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</si>
  <si>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</si>
  <si>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</si>
  <si>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</si>
  <si>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</si>
  <si>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</si>
  <si>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</si>
  <si>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</si>
  <si>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</si>
  <si>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</si>
  <si>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</si>
  <si>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</si>
  <si>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</si>
  <si>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</si>
  <si>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</si>
  <si>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</si>
  <si>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</si>
  <si>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</si>
  <si>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</si>
  <si>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</si>
  <si>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</si>
  <si>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</si>
  <si>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</si>
  <si>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</si>
  <si>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</si>
  <si>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</si>
  <si>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</si>
  <si>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</si>
  <si>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</si>
  <si>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</si>
  <si>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</si>
  <si>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</si>
  <si>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</si>
  <si>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</si>
  <si>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</si>
  <si>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</si>
  <si>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</si>
  <si>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</si>
  <si>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</si>
  <si>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</si>
  <si>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</si>
  <si>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</si>
  <si>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</si>
  <si>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</si>
  <si>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</si>
  <si>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</si>
  <si>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</si>
  <si>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</si>
  <si>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</si>
  <si>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</si>
  <si>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</si>
  <si>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</si>
  <si>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</si>
  <si>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</si>
  <si>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</si>
  <si>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</si>
  <si>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</si>
  <si>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</si>
  <si>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</si>
  <si>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</si>
  <si>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</si>
  <si>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</si>
  <si>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</si>
  <si>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</si>
  <si>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</si>
  <si>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</si>
  <si>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</si>
  <si>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</si>
  <si>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</si>
  <si>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</si>
  <si>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S02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</si>
  <si>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</si>
  <si>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</si>
  <si>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</si>
  <si>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</si>
  <si>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</si>
  <si>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</si>
  <si>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</si>
  <si>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</si>
  <si>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</si>
  <si>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</si>
  <si>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</si>
  <si>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</si>
  <si>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</si>
  <si>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</si>
  <si>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</si>
  <si>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</si>
  <si>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</si>
  <si>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</si>
  <si>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</si>
  <si>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</si>
  <si>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</si>
  <si>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</si>
  <si>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</si>
  <si>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</si>
  <si>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</si>
  <si>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</si>
  <si>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</si>
  <si>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</si>
  <si>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</si>
  <si>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</si>
  <si>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</si>
  <si>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</si>
  <si>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</si>
  <si>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</si>
  <si>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</si>
  <si>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</si>
  <si>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</si>
  <si>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</si>
  <si>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</si>
  <si>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</si>
  <si>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</si>
  <si>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</si>
  <si>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</si>
  <si>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</si>
  <si>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S06</t>
  </si>
  <si>
    <t>S07</t>
  </si>
  <si>
    <t>LoadingTimePerTon</t>
  </si>
  <si>
    <t>V4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</si>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</sst>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15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3B1ABFD-70E1-CED7-7426-E76FE9A5C1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A2F2B57-BF64-25B1-0EB2-BF653A43C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E025E5E-7EFA-4ACB-3CF2-74B471B328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19" workbookViewId="0">
      <selection activeCell="A32" sqref="A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v>7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4" t="s">
        <v>176</v>
      </c>
      <c r="B6" s="15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1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SUM(Suppliers!E2:E4)</f>
        <v>10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SUM(Suppliers!F2:F4)</f>
        <v>7.2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SUM(Suppliers!G2:G4)</f>
        <v>6.59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SUMPRODUCT(Fleet!$C$2:$C$3,Fleet!$D$2:$D$3)*$B$17</f>
        <v>15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SUMPRODUCT(Fleet!$C$2:$C$3,Fleet!$E$2:$E$3)*$B$17</f>
        <v>15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SUMPRODUCT(Fleet!$C$2:$C$3,Fleet!$F$2:$F$3)*$B$17</f>
        <v>15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0.66666666666666663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0.48000000000000004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0.4393333333333333</v>
      </c>
      <c r="C31" s="2" t="s">
        <v>91</v>
      </c>
      <c r="D31" s="2" t="s">
        <v>117</v>
      </c>
    </row>
    <row r="32" spans="1:4" x14ac:dyDescent="0.3">
      <c r="A32" t="s">
        <v>178</v>
      </c>
      <c r="B32">
        <v>5400</v>
      </c>
    </row>
    <row r="33" spans="1:2" x14ac:dyDescent="0.3">
      <c r="A33" t="s">
        <v>179</v>
      </c>
      <c r="B33">
        <v>5400</v>
      </c>
    </row>
    <row r="34" spans="1:2" x14ac:dyDescent="0.3">
      <c r="A34" t="s">
        <v>180</v>
      </c>
      <c r="B34">
        <v>5400</v>
      </c>
    </row>
    <row r="35" spans="1:2" x14ac:dyDescent="0.3">
      <c r="A35" t="s">
        <v>181</v>
      </c>
      <c r="B35">
        <v>5400</v>
      </c>
    </row>
    <row r="36" spans="1:2" x14ac:dyDescent="0.3">
      <c r="A36" t="s">
        <v>182</v>
      </c>
      <c r="B36">
        <v>5400</v>
      </c>
    </row>
    <row r="37" spans="1:2" x14ac:dyDescent="0.3">
      <c r="A37" t="s">
        <v>183</v>
      </c>
      <c r="B37">
        <v>5400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"/>
  <sheetViews>
    <sheetView topLeftCell="C13" workbookViewId="0">
      <selection activeCell="D18" sqref="D18:I37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5" width="13" customWidth="1"/>
    <col min="6" max="10" width="12.5546875" bestFit="1" customWidth="1"/>
    <col min="11" max="11" width="13" customWidth="1"/>
    <col min="12" max="12" width="30" customWidth="1"/>
  </cols>
  <sheetData>
    <row r="1" spans="1:19" ht="28.8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162</v>
      </c>
      <c r="I1" s="5" t="s">
        <v>163</v>
      </c>
      <c r="J1" s="5" t="s">
        <v>164</v>
      </c>
      <c r="K1" s="5" t="s">
        <v>127</v>
      </c>
      <c r="L1" s="5" t="s">
        <v>87</v>
      </c>
    </row>
    <row r="2" spans="1:19" x14ac:dyDescent="0.3">
      <c r="A2" s="2" t="s">
        <v>128</v>
      </c>
      <c r="B2" s="8">
        <v>18</v>
      </c>
      <c r="C2" s="8">
        <v>82</v>
      </c>
      <c r="D2" s="6" t="s">
        <v>30</v>
      </c>
      <c r="E2" s="11">
        <v>5</v>
      </c>
      <c r="F2" s="11">
        <v>3.5</v>
      </c>
      <c r="G2" s="11">
        <v>5</v>
      </c>
      <c r="H2" s="11">
        <v>4.51</v>
      </c>
      <c r="I2" s="11">
        <v>0</v>
      </c>
      <c r="J2" s="11">
        <v>0</v>
      </c>
    </row>
    <row r="3" spans="1:19" x14ac:dyDescent="0.3">
      <c r="A3" s="2" t="s">
        <v>128</v>
      </c>
      <c r="B3" s="8">
        <v>18</v>
      </c>
      <c r="C3" s="8">
        <v>82</v>
      </c>
      <c r="D3" s="6" t="s">
        <v>31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</row>
    <row r="4" spans="1:19" x14ac:dyDescent="0.3">
      <c r="A4" s="2" t="s">
        <v>129</v>
      </c>
      <c r="B4" s="8">
        <v>28</v>
      </c>
      <c r="C4" s="8">
        <v>68</v>
      </c>
      <c r="D4" s="6" t="s">
        <v>30</v>
      </c>
      <c r="E4" s="11">
        <v>5</v>
      </c>
      <c r="F4" s="11">
        <v>3.7</v>
      </c>
      <c r="G4" s="11">
        <v>1.59</v>
      </c>
      <c r="H4" s="11">
        <v>0</v>
      </c>
      <c r="I4" s="11">
        <v>0</v>
      </c>
      <c r="J4" s="11">
        <v>0</v>
      </c>
      <c r="Q4" s="11"/>
      <c r="R4" s="11"/>
      <c r="S4" s="11"/>
    </row>
    <row r="5" spans="1:19" x14ac:dyDescent="0.3">
      <c r="A5" s="2" t="s">
        <v>129</v>
      </c>
      <c r="B5" s="8">
        <v>28</v>
      </c>
      <c r="C5" s="8">
        <v>68</v>
      </c>
      <c r="D5" s="6" t="s">
        <v>31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Q5" s="11"/>
      <c r="R5" s="11"/>
      <c r="S5" s="11"/>
    </row>
    <row r="6" spans="1:19" x14ac:dyDescent="0.3">
      <c r="A6" s="7" t="s">
        <v>158</v>
      </c>
      <c r="D6" t="s">
        <v>30</v>
      </c>
      <c r="E6" s="11">
        <v>0</v>
      </c>
      <c r="F6" s="11">
        <v>5</v>
      </c>
      <c r="G6" s="11">
        <v>3.31</v>
      </c>
      <c r="H6" s="11">
        <v>0</v>
      </c>
      <c r="I6" s="11">
        <v>0</v>
      </c>
      <c r="J6" s="11">
        <v>0</v>
      </c>
      <c r="Q6" s="11"/>
      <c r="R6" s="11"/>
      <c r="S6" s="11"/>
    </row>
    <row r="7" spans="1:19" x14ac:dyDescent="0.3">
      <c r="A7" s="7" t="s">
        <v>158</v>
      </c>
      <c r="D7" t="s">
        <v>31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Q7" s="11"/>
      <c r="R7" s="11"/>
      <c r="S7" s="11"/>
    </row>
    <row r="8" spans="1:19" x14ac:dyDescent="0.3">
      <c r="A8" s="7" t="s">
        <v>159</v>
      </c>
      <c r="D8" t="s">
        <v>30</v>
      </c>
      <c r="E8" s="11">
        <v>0</v>
      </c>
      <c r="F8" s="11">
        <v>1.5</v>
      </c>
      <c r="G8" s="11">
        <v>5</v>
      </c>
      <c r="H8" s="11">
        <v>3.24</v>
      </c>
      <c r="I8" s="11">
        <v>0</v>
      </c>
      <c r="J8" s="11">
        <v>0</v>
      </c>
      <c r="Q8" s="11"/>
      <c r="R8" s="11"/>
      <c r="S8" s="11"/>
    </row>
    <row r="9" spans="1:19" x14ac:dyDescent="0.3">
      <c r="A9" s="7" t="s">
        <v>159</v>
      </c>
      <c r="D9" t="s">
        <v>31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Q9" s="11"/>
      <c r="R9" s="11"/>
      <c r="S9" s="11"/>
    </row>
    <row r="10" spans="1:19" x14ac:dyDescent="0.3">
      <c r="A10" s="7" t="s">
        <v>160</v>
      </c>
      <c r="D10" t="s">
        <v>30</v>
      </c>
      <c r="E10" s="11">
        <v>10</v>
      </c>
      <c r="F10" s="11">
        <v>10</v>
      </c>
      <c r="G10" s="11">
        <v>5</v>
      </c>
      <c r="H10" s="11">
        <v>5</v>
      </c>
      <c r="I10" s="11">
        <v>10</v>
      </c>
      <c r="J10" s="11">
        <v>3</v>
      </c>
      <c r="Q10" s="11"/>
      <c r="R10" s="11"/>
      <c r="S10" s="11"/>
    </row>
    <row r="11" spans="1:19" x14ac:dyDescent="0.3">
      <c r="A11" s="7" t="s">
        <v>160</v>
      </c>
      <c r="D11" t="s">
        <v>31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1">
        <v>4.78</v>
      </c>
      <c r="Q11" s="11"/>
      <c r="R11" s="11"/>
      <c r="S11" s="11"/>
    </row>
    <row r="12" spans="1:19" x14ac:dyDescent="0.3">
      <c r="A12" s="7" t="s">
        <v>174</v>
      </c>
      <c r="D12" t="s">
        <v>30</v>
      </c>
      <c r="E12" s="11">
        <v>5</v>
      </c>
      <c r="F12" s="11">
        <v>3.0500000000000003</v>
      </c>
      <c r="G12" s="11">
        <v>0</v>
      </c>
      <c r="H12" s="11">
        <v>0</v>
      </c>
      <c r="I12" s="11">
        <v>0</v>
      </c>
      <c r="J12" s="11">
        <v>2</v>
      </c>
      <c r="Q12" s="11"/>
      <c r="R12" s="11"/>
      <c r="S12" s="11"/>
    </row>
    <row r="13" spans="1:19" x14ac:dyDescent="0.3">
      <c r="A13" s="7" t="s">
        <v>174</v>
      </c>
      <c r="D13" t="s">
        <v>31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Q13" s="11"/>
      <c r="R13" s="11"/>
      <c r="S13" s="11"/>
    </row>
    <row r="14" spans="1:19" x14ac:dyDescent="0.3">
      <c r="A14" s="7" t="s">
        <v>175</v>
      </c>
      <c r="D14" t="s">
        <v>30</v>
      </c>
      <c r="E14" s="11">
        <v>4.5</v>
      </c>
      <c r="F14" s="11">
        <v>3</v>
      </c>
      <c r="G14" s="11">
        <v>5</v>
      </c>
      <c r="H14" s="11">
        <v>10</v>
      </c>
      <c r="I14" s="11">
        <v>10</v>
      </c>
      <c r="J14" s="11">
        <v>5</v>
      </c>
      <c r="Q14" s="11"/>
      <c r="R14" s="11"/>
      <c r="S14" s="11"/>
    </row>
    <row r="15" spans="1:19" x14ac:dyDescent="0.3">
      <c r="A15" s="7" t="s">
        <v>175</v>
      </c>
      <c r="D15" t="s">
        <v>31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1">
        <v>2.3199999999999998</v>
      </c>
      <c r="Q15" s="11"/>
      <c r="R15" s="11"/>
      <c r="S15" s="11"/>
    </row>
    <row r="16" spans="1:19" x14ac:dyDescent="0.3">
      <c r="N16" s="11"/>
      <c r="O16" s="11"/>
      <c r="P16" s="11"/>
      <c r="Q16" s="11"/>
      <c r="R16" s="11"/>
      <c r="S16" s="11"/>
    </row>
    <row r="17" spans="14:19" x14ac:dyDescent="0.3">
      <c r="N17" s="11"/>
      <c r="O17" s="11"/>
      <c r="P17" s="11"/>
      <c r="Q17" s="11"/>
      <c r="R17" s="11"/>
      <c r="S17" s="11"/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K2:K7 F2:J15 N4:S17 C2:D27 E2:E18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workbookViewId="0">
      <selection activeCell="A5" sqref="A5:XFD6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130</v>
      </c>
      <c r="B1" s="5" t="s">
        <v>131</v>
      </c>
      <c r="C1" s="5" t="s">
        <v>132</v>
      </c>
      <c r="D1" s="5" t="s">
        <v>133</v>
      </c>
      <c r="E1" s="5" t="s">
        <v>134</v>
      </c>
      <c r="F1" s="5" t="s">
        <v>135</v>
      </c>
      <c r="G1" s="5" t="s">
        <v>169</v>
      </c>
      <c r="H1" s="5" t="s">
        <v>167</v>
      </c>
      <c r="I1" s="5" t="s">
        <v>168</v>
      </c>
      <c r="J1" s="5" t="s">
        <v>136</v>
      </c>
      <c r="K1" s="5" t="s">
        <v>137</v>
      </c>
      <c r="L1" s="5" t="s">
        <v>138</v>
      </c>
      <c r="M1" s="5" t="s">
        <v>165</v>
      </c>
      <c r="N1" s="5" t="s">
        <v>166</v>
      </c>
      <c r="O1" s="5" t="s">
        <v>170</v>
      </c>
      <c r="P1" s="5" t="s">
        <v>87</v>
      </c>
    </row>
    <row r="2" spans="1:16" x14ac:dyDescent="0.3">
      <c r="A2" s="2" t="s">
        <v>139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140</v>
      </c>
    </row>
    <row r="3" spans="1:16" x14ac:dyDescent="0.3">
      <c r="A3" s="2" t="s">
        <v>141</v>
      </c>
      <c r="B3" s="2" t="s">
        <v>72</v>
      </c>
      <c r="C3" s="8">
        <v>5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  <c r="P3" s="6" t="s">
        <v>140</v>
      </c>
    </row>
    <row r="4" spans="1:16" x14ac:dyDescent="0.3">
      <c r="A4" s="2" t="s">
        <v>141</v>
      </c>
      <c r="B4" s="2" t="s">
        <v>76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3">
      <c r="A5" s="2" t="s">
        <v>161</v>
      </c>
      <c r="B5" s="2" t="s">
        <v>72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8">
        <v>6</v>
      </c>
      <c r="K5" s="8">
        <v>2</v>
      </c>
      <c r="L5" s="8">
        <v>1</v>
      </c>
      <c r="M5" s="8">
        <v>6</v>
      </c>
      <c r="N5" s="8">
        <v>2</v>
      </c>
      <c r="O5" s="8">
        <v>1</v>
      </c>
    </row>
    <row r="6" spans="1:16" x14ac:dyDescent="0.3">
      <c r="A6" s="2" t="s">
        <v>161</v>
      </c>
      <c r="B6" s="2" t="s">
        <v>76</v>
      </c>
      <c r="C6">
        <v>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  <row r="7" spans="1:16" x14ac:dyDescent="0.3">
      <c r="A7" s="2" t="s">
        <v>177</v>
      </c>
      <c r="B7" s="2" t="s">
        <v>72</v>
      </c>
      <c r="C7">
        <v>10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>
      <selection activeCell="B12" sqref="B12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130</v>
      </c>
      <c r="B1" s="5" t="s">
        <v>131</v>
      </c>
      <c r="C1" s="5" t="s">
        <v>142</v>
      </c>
      <c r="D1" s="5" t="s">
        <v>143</v>
      </c>
      <c r="E1" s="5" t="s">
        <v>144</v>
      </c>
      <c r="F1" s="5" t="s">
        <v>171</v>
      </c>
      <c r="G1" s="5" t="s">
        <v>172</v>
      </c>
      <c r="H1" s="5" t="s">
        <v>173</v>
      </c>
      <c r="I1" s="5" t="s">
        <v>145</v>
      </c>
    </row>
    <row r="2" spans="1:9" ht="28.8" x14ac:dyDescent="0.3">
      <c r="A2" s="2" t="s">
        <v>139</v>
      </c>
      <c r="B2" s="2" t="s">
        <v>72</v>
      </c>
      <c r="C2" s="6" t="s">
        <v>157</v>
      </c>
      <c r="D2" s="6"/>
      <c r="E2" s="6"/>
      <c r="F2" s="6"/>
      <c r="G2" s="6"/>
      <c r="H2" s="6"/>
      <c r="I2" s="2" t="s">
        <v>146</v>
      </c>
    </row>
    <row r="3" spans="1:9" ht="28.8" x14ac:dyDescent="0.3">
      <c r="A3" s="2" t="s">
        <v>141</v>
      </c>
      <c r="B3" s="2" t="s">
        <v>72</v>
      </c>
      <c r="C3" s="6" t="s">
        <v>157</v>
      </c>
      <c r="D3" s="6"/>
      <c r="E3" s="6"/>
      <c r="F3" s="6"/>
      <c r="G3" s="6"/>
      <c r="H3" s="6"/>
      <c r="I3" s="2" t="s">
        <v>146</v>
      </c>
    </row>
    <row r="4" spans="1:9" x14ac:dyDescent="0.3">
      <c r="A4" s="2" t="s">
        <v>141</v>
      </c>
      <c r="B4" s="2" t="s">
        <v>76</v>
      </c>
      <c r="C4" s="6" t="s">
        <v>157</v>
      </c>
      <c r="D4" s="6"/>
      <c r="E4" s="6"/>
      <c r="F4" s="6"/>
      <c r="G4" s="6"/>
      <c r="H4" s="6"/>
      <c r="I4" s="2"/>
    </row>
    <row r="5" spans="1:9" x14ac:dyDescent="0.3">
      <c r="A5" s="2" t="s">
        <v>161</v>
      </c>
      <c r="B5" s="2" t="s">
        <v>72</v>
      </c>
      <c r="C5" s="6" t="s">
        <v>157</v>
      </c>
      <c r="D5" s="6"/>
      <c r="E5" s="6"/>
      <c r="F5" s="6"/>
      <c r="G5" s="6"/>
      <c r="H5" s="6"/>
      <c r="I5" s="2" t="s">
        <v>147</v>
      </c>
    </row>
    <row r="6" spans="1:9" x14ac:dyDescent="0.3">
      <c r="A6" s="2" t="s">
        <v>161</v>
      </c>
      <c r="B6" s="2" t="s">
        <v>76</v>
      </c>
      <c r="C6" s="6" t="s">
        <v>157</v>
      </c>
    </row>
    <row r="7" spans="1:9" x14ac:dyDescent="0.3">
      <c r="A7" s="2" t="s">
        <v>177</v>
      </c>
      <c r="B7" s="2" t="s">
        <v>72</v>
      </c>
      <c r="C7" s="6" t="s">
        <v>157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B13" sqref="B13"/>
    </sheetView>
  </sheetViews>
  <sheetFormatPr baseColWidth="10" defaultColWidth="9.109375" defaultRowHeight="14.4" x14ac:dyDescent="0.3"/>
  <cols>
    <col min="1" max="1" width="23" customWidth="1"/>
    <col min="2" max="2" width="6.6640625" bestFit="1" customWidth="1"/>
    <col min="3" max="3" width="30" customWidth="1"/>
    <col min="4" max="4" width="2.33203125" bestFit="1" customWidth="1"/>
  </cols>
  <sheetData>
    <row r="1" spans="1:4" x14ac:dyDescent="0.3">
      <c r="A1" s="5" t="s">
        <v>148</v>
      </c>
      <c r="B1" s="5" t="s">
        <v>157</v>
      </c>
      <c r="C1" s="12" t="s">
        <v>30</v>
      </c>
      <c r="D1" s="12" t="s">
        <v>31</v>
      </c>
    </row>
    <row r="2" spans="1:4" x14ac:dyDescent="0.3">
      <c r="A2" s="3" t="s">
        <v>157</v>
      </c>
      <c r="B2" s="3">
        <v>1</v>
      </c>
      <c r="C2" s="13">
        <v>1</v>
      </c>
      <c r="D2" s="13">
        <v>1</v>
      </c>
    </row>
    <row r="3" spans="1:4" x14ac:dyDescent="0.3">
      <c r="A3" s="3" t="s">
        <v>30</v>
      </c>
      <c r="B3" s="3">
        <v>0</v>
      </c>
      <c r="C3" s="13">
        <v>1</v>
      </c>
      <c r="D3" s="13">
        <v>1</v>
      </c>
    </row>
    <row r="4" spans="1:4" x14ac:dyDescent="0.3">
      <c r="A4" s="3" t="s">
        <v>31</v>
      </c>
      <c r="B4" s="3">
        <v>0</v>
      </c>
      <c r="C4" s="13">
        <v>1</v>
      </c>
      <c r="D4" s="13">
        <v>1</v>
      </c>
    </row>
    <row r="5" spans="1:4" x14ac:dyDescent="0.3">
      <c r="A5" s="2"/>
      <c r="B5" s="2"/>
      <c r="C5" s="2"/>
      <c r="D5" s="2"/>
    </row>
    <row r="6" spans="1:4" ht="28.8" x14ac:dyDescent="0.3">
      <c r="A6" s="3" t="s">
        <v>149</v>
      </c>
      <c r="B6" s="3"/>
      <c r="C6" s="2" t="s">
        <v>150</v>
      </c>
      <c r="D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selection activeCell="G14" sqref="G14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151</v>
      </c>
      <c r="B1" s="5" t="s">
        <v>121</v>
      </c>
      <c r="C1" s="5" t="s">
        <v>122</v>
      </c>
      <c r="D1" s="5" t="s">
        <v>152</v>
      </c>
      <c r="E1" s="5" t="s">
        <v>123</v>
      </c>
    </row>
    <row r="2" spans="1:5" x14ac:dyDescent="0.3">
      <c r="A2" s="7" t="s">
        <v>153</v>
      </c>
      <c r="B2" s="7"/>
      <c r="C2" s="7"/>
      <c r="D2" s="9" t="s">
        <v>154</v>
      </c>
      <c r="E2" s="7" t="s">
        <v>1</v>
      </c>
    </row>
    <row r="3" spans="1:5" x14ac:dyDescent="0.3">
      <c r="A3" s="7" t="str">
        <f>Suppliers!A2</f>
        <v>S01</v>
      </c>
      <c r="B3" s="7"/>
      <c r="C3" s="7"/>
      <c r="D3" s="9" t="s">
        <v>155</v>
      </c>
      <c r="E3" s="7" t="str">
        <f>Suppliers!D2</f>
        <v>EV</v>
      </c>
    </row>
    <row r="4" spans="1:5" x14ac:dyDescent="0.3">
      <c r="A4" s="7" t="str">
        <f>Suppliers!A3</f>
        <v>S01</v>
      </c>
      <c r="B4" s="7"/>
      <c r="C4" s="7"/>
      <c r="D4" s="9" t="s">
        <v>155</v>
      </c>
      <c r="E4" s="7" t="str">
        <f>Suppliers!D3</f>
        <v>V</v>
      </c>
    </row>
    <row r="5" spans="1:5" x14ac:dyDescent="0.3">
      <c r="A5" s="7" t="str">
        <f>Suppliers!A4</f>
        <v>S02</v>
      </c>
      <c r="B5" s="7"/>
      <c r="C5" s="7"/>
      <c r="D5" s="9" t="s">
        <v>155</v>
      </c>
      <c r="E5" s="7" t="str">
        <f>Suppliers!D4</f>
        <v>EV</v>
      </c>
    </row>
    <row r="6" spans="1:5" x14ac:dyDescent="0.3">
      <c r="A6" s="7" t="str">
        <f>Suppliers!A5</f>
        <v>S02</v>
      </c>
      <c r="B6" s="7"/>
      <c r="C6" s="7"/>
      <c r="D6" s="9" t="s">
        <v>155</v>
      </c>
      <c r="E6" s="7" t="str">
        <f>Suppliers!D5</f>
        <v>V</v>
      </c>
    </row>
    <row r="7" spans="1:5" x14ac:dyDescent="0.3">
      <c r="A7" s="7" t="s">
        <v>158</v>
      </c>
      <c r="E7" t="s">
        <v>30</v>
      </c>
    </row>
    <row r="8" spans="1:5" x14ac:dyDescent="0.3">
      <c r="A8" s="7" t="s">
        <v>158</v>
      </c>
      <c r="E8" t="s">
        <v>31</v>
      </c>
    </row>
    <row r="9" spans="1:5" x14ac:dyDescent="0.3">
      <c r="A9" s="7" t="s">
        <v>159</v>
      </c>
      <c r="E9" t="s">
        <v>30</v>
      </c>
    </row>
    <row r="10" spans="1:5" x14ac:dyDescent="0.3">
      <c r="A10" s="7" t="s">
        <v>159</v>
      </c>
      <c r="E10" t="s">
        <v>31</v>
      </c>
    </row>
    <row r="11" spans="1:5" x14ac:dyDescent="0.3">
      <c r="A11" s="7" t="s">
        <v>160</v>
      </c>
      <c r="E11" t="s">
        <v>30</v>
      </c>
    </row>
    <row r="12" spans="1:5" x14ac:dyDescent="0.3">
      <c r="A12" s="7" t="s">
        <v>160</v>
      </c>
      <c r="E12" t="s">
        <v>31</v>
      </c>
    </row>
    <row r="13" spans="1:5" x14ac:dyDescent="0.3">
      <c r="A13" s="7" t="s">
        <v>174</v>
      </c>
      <c r="E13" t="s">
        <v>30</v>
      </c>
    </row>
    <row r="14" spans="1:5" x14ac:dyDescent="0.3">
      <c r="A14" s="7" t="s">
        <v>174</v>
      </c>
      <c r="E14" t="s">
        <v>31</v>
      </c>
    </row>
    <row r="15" spans="1:5" x14ac:dyDescent="0.3">
      <c r="A15" s="7" t="s">
        <v>175</v>
      </c>
      <c r="E15" t="s">
        <v>30</v>
      </c>
    </row>
    <row r="16" spans="1:5" x14ac:dyDescent="0.3">
      <c r="A16" s="7" t="s">
        <v>175</v>
      </c>
      <c r="E16" t="s">
        <v>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>
      <selection activeCell="B11" sqref="B11:I18"/>
    </sheetView>
  </sheetViews>
  <sheetFormatPr baseColWidth="10" defaultColWidth="9.109375" defaultRowHeight="14.4" x14ac:dyDescent="0.3"/>
  <cols>
    <col min="1" max="1" width="12" customWidth="1"/>
    <col min="2" max="4" width="30" customWidth="1"/>
  </cols>
  <sheetData>
    <row r="1" spans="1:9" x14ac:dyDescent="0.3">
      <c r="A1" s="5" t="s">
        <v>156</v>
      </c>
      <c r="B1" s="5" t="str">
        <f>Nodes!A2</f>
        <v>D0</v>
      </c>
      <c r="C1" s="5" t="str">
        <f>Nodes!A3</f>
        <v>S01</v>
      </c>
      <c r="D1" s="5" t="str">
        <f>Nodes!A5</f>
        <v>S02</v>
      </c>
      <c r="E1" t="s">
        <v>158</v>
      </c>
      <c r="F1" t="s">
        <v>159</v>
      </c>
      <c r="G1" t="s">
        <v>160</v>
      </c>
      <c r="H1" t="s">
        <v>174</v>
      </c>
      <c r="I1" t="s">
        <v>175</v>
      </c>
    </row>
    <row r="2" spans="1:9" x14ac:dyDescent="0.3">
      <c r="A2" s="3" t="str">
        <f>Nodes!A2</f>
        <v>D0</v>
      </c>
      <c r="B2" s="10">
        <v>0</v>
      </c>
      <c r="C2" s="10">
        <v>175</v>
      </c>
      <c r="D2" s="10">
        <v>171</v>
      </c>
      <c r="E2">
        <v>175</v>
      </c>
      <c r="F2">
        <v>133</v>
      </c>
      <c r="G2">
        <v>12</v>
      </c>
      <c r="H2">
        <v>21</v>
      </c>
      <c r="I2">
        <v>13</v>
      </c>
    </row>
    <row r="3" spans="1:9" x14ac:dyDescent="0.3">
      <c r="A3" s="3" t="str">
        <f>Nodes!A3</f>
        <v>S01</v>
      </c>
      <c r="B3" s="10">
        <v>175</v>
      </c>
      <c r="C3" s="10">
        <v>0</v>
      </c>
      <c r="D3" s="10">
        <v>70</v>
      </c>
      <c r="E3">
        <v>49</v>
      </c>
      <c r="F3">
        <v>100</v>
      </c>
      <c r="G3">
        <v>169</v>
      </c>
      <c r="H3">
        <v>177</v>
      </c>
      <c r="I3">
        <v>163</v>
      </c>
    </row>
    <row r="4" spans="1:9" x14ac:dyDescent="0.3">
      <c r="A4" s="3" t="str">
        <f>Nodes!A5</f>
        <v>S02</v>
      </c>
      <c r="B4" s="10">
        <v>171</v>
      </c>
      <c r="C4" s="10">
        <v>70</v>
      </c>
      <c r="D4" s="10">
        <v>0</v>
      </c>
      <c r="E4">
        <v>22</v>
      </c>
      <c r="F4">
        <v>40</v>
      </c>
      <c r="G4">
        <v>165</v>
      </c>
      <c r="H4">
        <v>173</v>
      </c>
      <c r="I4">
        <v>166</v>
      </c>
    </row>
    <row r="5" spans="1:9" x14ac:dyDescent="0.3">
      <c r="A5" s="3" t="s">
        <v>158</v>
      </c>
      <c r="B5">
        <v>175</v>
      </c>
      <c r="C5">
        <v>49</v>
      </c>
      <c r="D5">
        <v>22</v>
      </c>
      <c r="E5">
        <v>0</v>
      </c>
      <c r="F5">
        <v>52</v>
      </c>
      <c r="G5">
        <v>172</v>
      </c>
      <c r="H5">
        <v>195</v>
      </c>
      <c r="I5">
        <v>181</v>
      </c>
    </row>
    <row r="6" spans="1:9" x14ac:dyDescent="0.3">
      <c r="A6" s="3" t="s">
        <v>159</v>
      </c>
      <c r="B6">
        <v>133</v>
      </c>
      <c r="C6">
        <v>100</v>
      </c>
      <c r="D6">
        <v>40</v>
      </c>
      <c r="E6">
        <v>52</v>
      </c>
      <c r="F6">
        <v>0</v>
      </c>
      <c r="G6">
        <v>141</v>
      </c>
      <c r="H6">
        <v>144</v>
      </c>
      <c r="I6">
        <v>130</v>
      </c>
    </row>
    <row r="7" spans="1:9" x14ac:dyDescent="0.3">
      <c r="A7" t="s">
        <v>160</v>
      </c>
      <c r="B7">
        <v>12</v>
      </c>
      <c r="C7">
        <v>169</v>
      </c>
      <c r="D7">
        <v>165</v>
      </c>
      <c r="E7">
        <v>172</v>
      </c>
      <c r="F7">
        <v>141</v>
      </c>
      <c r="G7">
        <v>0</v>
      </c>
      <c r="H7">
        <v>24</v>
      </c>
      <c r="I7">
        <v>13</v>
      </c>
    </row>
    <row r="8" spans="1:9" x14ac:dyDescent="0.3">
      <c r="A8" s="3" t="s">
        <v>174</v>
      </c>
      <c r="B8">
        <v>21</v>
      </c>
      <c r="C8">
        <v>177</v>
      </c>
      <c r="D8">
        <v>173</v>
      </c>
      <c r="E8">
        <v>195</v>
      </c>
      <c r="F8">
        <v>144</v>
      </c>
      <c r="G8">
        <v>24</v>
      </c>
      <c r="H8">
        <v>0</v>
      </c>
      <c r="I8">
        <v>16</v>
      </c>
    </row>
    <row r="9" spans="1:9" x14ac:dyDescent="0.3">
      <c r="A9" s="3" t="s">
        <v>175</v>
      </c>
      <c r="B9">
        <v>13</v>
      </c>
      <c r="C9">
        <v>163</v>
      </c>
      <c r="D9">
        <v>166</v>
      </c>
      <c r="E9">
        <v>181</v>
      </c>
      <c r="F9">
        <v>130</v>
      </c>
      <c r="G9">
        <v>13</v>
      </c>
      <c r="H9">
        <v>16</v>
      </c>
      <c r="I9">
        <v>0</v>
      </c>
    </row>
    <row r="13" spans="1:9" x14ac:dyDescent="0.3">
      <c r="B13" s="16"/>
      <c r="C13" s="16"/>
      <c r="D13" s="16"/>
      <c r="E13" s="16"/>
      <c r="F13" s="16"/>
      <c r="G13" s="16"/>
      <c r="H13" s="16"/>
      <c r="I13" s="16"/>
    </row>
    <row r="14" spans="1:9" x14ac:dyDescent="0.3">
      <c r="B14" s="16"/>
      <c r="C14" s="16"/>
      <c r="D14" s="16"/>
      <c r="E14" s="16"/>
      <c r="F14" s="16"/>
      <c r="G14" s="16"/>
      <c r="H14" s="16"/>
      <c r="I14" s="16"/>
    </row>
    <row r="15" spans="1:9" x14ac:dyDescent="0.3">
      <c r="B15" s="16"/>
      <c r="C15" s="16"/>
      <c r="D15" s="16"/>
      <c r="E15" s="16"/>
      <c r="F15" s="16"/>
      <c r="G15" s="16"/>
      <c r="H15" s="16"/>
      <c r="I15" s="16"/>
    </row>
    <row r="16" spans="1:9" x14ac:dyDescent="0.3">
      <c r="B16" s="16"/>
      <c r="C16" s="16"/>
      <c r="D16" s="16"/>
      <c r="E16" s="16"/>
      <c r="F16" s="16"/>
      <c r="G16" s="16"/>
      <c r="H16" s="16"/>
      <c r="I16" s="16"/>
    </row>
    <row r="17" spans="2:9" x14ac:dyDescent="0.3">
      <c r="B17" s="16"/>
      <c r="C17" s="16"/>
      <c r="D17" s="16"/>
      <c r="E17" s="16"/>
      <c r="F17" s="16"/>
      <c r="G17" s="16"/>
      <c r="H17" s="16"/>
      <c r="I17" s="16"/>
    </row>
    <row r="18" spans="2:9" x14ac:dyDescent="0.3">
      <c r="B18" s="16"/>
      <c r="C18" s="16"/>
      <c r="D18" s="16"/>
      <c r="E18" s="16"/>
      <c r="F18" s="16"/>
      <c r="G18" s="16"/>
      <c r="H18" s="16"/>
      <c r="I18" s="16"/>
    </row>
    <row r="19" spans="2:9" x14ac:dyDescent="0.3">
      <c r="B19" s="16"/>
      <c r="C19" s="16"/>
      <c r="D19" s="16"/>
      <c r="E19" s="16"/>
      <c r="F19" s="16"/>
      <c r="G19" s="16"/>
      <c r="H19" s="16"/>
      <c r="I19" s="16"/>
    </row>
    <row r="20" spans="2:9" x14ac:dyDescent="0.3">
      <c r="B20" s="16"/>
      <c r="C20" s="16"/>
      <c r="D20" s="16"/>
      <c r="E20" s="16"/>
      <c r="F20" s="16"/>
      <c r="G20" s="16"/>
      <c r="H20" s="16"/>
      <c r="I20" s="16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2026-07-19T15:02:09Z</dcterms:modified>
</cp:coreProperties>
</file>