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chocompanycomtn-my.sharepoint.com/personal/imed_ghodhbeni_cho_com_tn/Documents/Bureau/py.2/"/>
    </mc:Choice>
  </mc:AlternateContent>
  <xr:revisionPtr revIDLastSave="1" documentId="13_ncr:1_{C893DE99-B17F-41D8-B51C-3C7B403C172F}" xr6:coauthVersionLast="47" xr6:coauthVersionMax="47" xr10:uidLastSave="{BB58FBC2-B00A-4605-B178-0663195C6F20}"/>
  <bookViews>
    <workbookView xWindow="-108" yWindow="-108" windowWidth="23256" windowHeight="12456" firstSheet="3" activeTab="3" xr2:uid="{00000000-000D-0000-FFFF-FFFF00000000}"/>
  </bookViews>
  <sheets>
    <sheet name="README" sheetId="1" r:id="rId1"/>
    <sheet name="Controls" sheetId="2" r:id="rId2"/>
    <sheet name="Instance_Catalog" sheetId="3" r:id="rId3"/>
    <sheet name="Params" sheetId="4" r:id="rId4"/>
    <sheet name="Suppliers" sheetId="5" r:id="rId5"/>
    <sheet name="Fleet" sheetId="6" r:id="rId6"/>
    <sheet name="Initial_States" sheetId="7" r:id="rId7"/>
    <sheet name="Incompatibility" sheetId="8" r:id="rId8"/>
    <sheet name="Nodes" sheetId="9" r:id="rId9"/>
    <sheet name="Distanc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9" l="1"/>
  <c r="E5" i="9"/>
  <c r="A2" i="10"/>
  <c r="B1" i="10"/>
  <c r="C6" i="9"/>
  <c r="B6" i="9"/>
  <c r="A6" i="9"/>
  <c r="C5" i="9"/>
  <c r="B5" i="9"/>
  <c r="A5" i="9"/>
  <c r="D1" i="10" s="1"/>
  <c r="E4" i="9"/>
  <c r="C4" i="9"/>
  <c r="B4" i="9"/>
  <c r="A4" i="9"/>
  <c r="E3" i="9"/>
  <c r="C3" i="9"/>
  <c r="B3" i="9"/>
  <c r="A3" i="9"/>
  <c r="C1" i="10" s="1"/>
  <c r="C2" i="9"/>
  <c r="B2" i="9"/>
  <c r="B28" i="4"/>
  <c r="B27" i="4"/>
  <c r="B26" i="4"/>
  <c r="B25" i="4"/>
  <c r="B24" i="4"/>
  <c r="B23" i="4"/>
  <c r="B22" i="4"/>
  <c r="B14" i="4"/>
  <c r="B13" i="4"/>
  <c r="B12" i="4"/>
  <c r="B11" i="4"/>
  <c r="B10" i="4"/>
  <c r="B9" i="4"/>
  <c r="B8" i="4"/>
  <c r="B4" i="4"/>
  <c r="B3" i="4"/>
  <c r="B31" i="4" l="1"/>
  <c r="B29" i="4"/>
  <c r="B30" i="4"/>
  <c r="A3" i="10"/>
  <c r="A4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D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Quality code per supplier. Use one of EV, V, O, L.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J1" authorId="0" shapeId="0" xr:uid="{1559A47A-342E-49C9-B383-3E09601924B9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  <comment ref="M1" authorId="0" shapeId="0" xr:uid="{6CCAE25E-ACBC-467A-92E4-A8025DAD6F0A}">
      <text>
        <r>
          <rPr>
            <sz val="11"/>
            <color theme="1"/>
            <rFont val="Calibri"/>
            <family val="2"/>
            <scheme val="minor"/>
          </rPr>
          <t>Period-specific cleaning cost transmitted from MP layer to MT-MC layer.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Initial quality occupying compartment at start of each period.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900-000001000000}">
      <text>
        <r>
          <rPr>
            <sz val="11"/>
            <color theme="1"/>
            <rFont val="Calibri"/>
            <family val="2"/>
            <scheme val="minor"/>
          </rPr>
          <t>Euclidean distances derived from Nodes sheet formulas.</t>
        </r>
      </text>
    </comment>
  </commentList>
</comments>
</file>

<file path=xl/sharedStrings.xml><?xml version="1.0" encoding="utf-8"?>
<sst xmlns="http://schemas.openxmlformats.org/spreadsheetml/2006/main" count="355" uniqueCount="188">
  <si>
    <t>MPMTMC-VRP Excel Template</t>
  </si>
  <si>
    <t/>
  </si>
  <si>
    <t>Purpose</t>
  </si>
  <si>
    <t>Starter workbook for a hierarchical multi-period, multi-tour, multi-compartment VRP with asymmetric product compatibility and inherited compartment states.</t>
  </si>
  <si>
    <t>Primary sample</t>
  </si>
  <si>
    <t>Instance C3 (hierarchical conflict / unfavorable inherited states)</t>
  </si>
  <si>
    <t>Expected code-facing sheets</t>
  </si>
  <si>
    <t>Params, Suppliers, Fleet, Initial_States, Incompatibility, Nodes, Distances</t>
  </si>
  <si>
    <t>Sheet usage</t>
  </si>
  <si>
    <t>Params</t>
  </si>
  <si>
    <t>Global controls, selected instance metadata, cost assumptions, and formula-based summary checks.</t>
  </si>
  <si>
    <t>Suppliers</t>
  </si>
  <si>
    <t>Supplier coordinates, assigned quality, and period demands. Edit blue cells only.</t>
  </si>
  <si>
    <t>Fleet</t>
  </si>
  <si>
    <t>Vehicle/compartment capacities, period availability, and period-specific cleaning costs. Edit blue cells only.</t>
  </si>
  <si>
    <t>Initial_States</t>
  </si>
  <si>
    <t>Initial quality state of each compartment at the start of each period.</t>
  </si>
  <si>
    <t>Incompatibility</t>
  </si>
  <si>
    <t>Asymmetric compatibility matrix Γ(q,q'). 1 = compatible without cleaning, 0 = incompatible unless cleaned.</t>
  </si>
  <si>
    <t>Nodes</t>
  </si>
  <si>
    <t>Derived node list (depot + suppliers) feeding the distance matrix.</t>
  </si>
  <si>
    <t>Distances</t>
  </si>
  <si>
    <t>Formula-driven Euclidean distance matrix. Recalculates when coordinates change.</t>
  </si>
  <si>
    <t>Quality convention</t>
  </si>
  <si>
    <t>Ordered qualities: EV &gt; V &gt; O &gt; L. Downward transitions are compatible; upward transitions require cleaning.</t>
  </si>
  <si>
    <t>Implementation note</t>
  </si>
  <si>
    <t>The workbook is organized so you can read Suppliers/Fleet/Initial_States as direct inputs and Distances as a derived matrix.</t>
  </si>
  <si>
    <t>Editing guidance</t>
  </si>
  <si>
    <t>If you expand beyond 16 suppliers, extend formulas in Nodes and Distances accordingly.</t>
  </si>
  <si>
    <t>Quality_List</t>
  </si>
  <si>
    <t>EV</t>
  </si>
  <si>
    <t>V</t>
  </si>
  <si>
    <t>O</t>
  </si>
  <si>
    <t>L</t>
  </si>
  <si>
    <t>Cleaning_Level</t>
  </si>
  <si>
    <t>Low</t>
  </si>
  <si>
    <t>Medium</t>
  </si>
  <si>
    <t>High</t>
  </si>
  <si>
    <t>Instance_ID</t>
  </si>
  <si>
    <t>Family</t>
  </si>
  <si>
    <t>Num_Suppliers</t>
  </si>
  <si>
    <t>Num_Periods</t>
  </si>
  <si>
    <t>Num_Vehicles</t>
  </si>
  <si>
    <t>Compartments_per_vehicle</t>
  </si>
  <si>
    <t>Capacity_per_compartment_t</t>
  </si>
  <si>
    <t>Spatial_mixing_level</t>
  </si>
  <si>
    <t>Cleaning_cost_level</t>
  </si>
  <si>
    <t>Initial_state_condition</t>
  </si>
  <si>
    <t>Dominant_quality_pattern</t>
  </si>
  <si>
    <t>Experimental_goal</t>
  </si>
  <si>
    <t>A1</t>
  </si>
  <si>
    <t>Monotone</t>
  </si>
  <si>
    <t>Neutral</t>
  </si>
  <si>
    <t>Separated by quality</t>
  </si>
  <si>
    <t>Baseline no-wash</t>
  </si>
  <si>
    <t>A2</t>
  </si>
  <si>
    <t>Cost sensitivity</t>
  </si>
  <si>
    <t>A3</t>
  </si>
  <si>
    <t>Favorable</t>
  </si>
  <si>
    <t>MP neutralizes MT</t>
  </si>
  <si>
    <t>A4</t>
  </si>
  <si>
    <t>Confirm no washing</t>
  </si>
  <si>
    <t>B1</t>
  </si>
  <si>
    <t>Operational conflict</t>
  </si>
  <si>
    <t>Mixed spatial</t>
  </si>
  <si>
    <t>Force washing</t>
  </si>
  <si>
    <t>B2</t>
  </si>
  <si>
    <t>Trade-off distance vs washing</t>
  </si>
  <si>
    <t>B3</t>
  </si>
  <si>
    <t>Avoid washing</t>
  </si>
  <si>
    <t>B4</t>
  </si>
  <si>
    <t>Compare structures</t>
  </si>
  <si>
    <t>C1</t>
  </si>
  <si>
    <t>Hierarchical conflict</t>
  </si>
  <si>
    <t>Low-&gt;High quality shift</t>
  </si>
  <si>
    <t>MP weak influence</t>
  </si>
  <si>
    <t>C2</t>
  </si>
  <si>
    <t>MP induces structure</t>
  </si>
  <si>
    <t>C3</t>
  </si>
  <si>
    <t>Unfavorable</t>
  </si>
  <si>
    <t>State inheritance impact</t>
  </si>
  <si>
    <t>C4</t>
  </si>
  <si>
    <t>Very unfavorable</t>
  </si>
  <si>
    <t>Strong MP-MT coupling</t>
  </si>
  <si>
    <t>Parameter</t>
  </si>
  <si>
    <t>Value</t>
  </si>
  <si>
    <t>Type</t>
  </si>
  <si>
    <t>Notes</t>
  </si>
  <si>
    <t>Selected_Instance</t>
  </si>
  <si>
    <t>Input</t>
  </si>
  <si>
    <t>Choose the scenario to replicate in the generic sheets</t>
  </si>
  <si>
    <t>Derived</t>
  </si>
  <si>
    <t>From Instance_Catalog</t>
  </si>
  <si>
    <t>Depot_X</t>
  </si>
  <si>
    <t>Depot x-coordinate</t>
  </si>
  <si>
    <t>Depot_Y</t>
  </si>
  <si>
    <t>Depot y-coordinate</t>
  </si>
  <si>
    <t>Max_Tours_per_vehicle_per_period</t>
  </si>
  <si>
    <t>Operational limit</t>
  </si>
  <si>
    <t>Cost_per_km</t>
  </si>
  <si>
    <t>Routing coefficient</t>
  </si>
  <si>
    <t>Sample_Instance_Description</t>
  </si>
  <si>
    <t>C3 = state inheritance impact with unfavorable inherited states and low-to-high quality shift</t>
  </si>
  <si>
    <t>Static</t>
  </si>
  <si>
    <t>Narrative control</t>
  </si>
  <si>
    <t>Summary_Checks</t>
  </si>
  <si>
    <t>Total_Supplier_Demand_P1_t</t>
  </si>
  <si>
    <t>Tons</t>
  </si>
  <si>
    <t>Total_Supplier_Demand_P2_t</t>
  </si>
  <si>
    <t>Total_Supplier_Demand_P3_t</t>
  </si>
  <si>
    <t>Active_Compartments</t>
  </si>
  <si>
    <t>Compartment-period availability count</t>
  </si>
  <si>
    <t>Total_Period_Capacity_P1_t</t>
  </si>
  <si>
    <t>Capacity × max tours</t>
  </si>
  <si>
    <t>Total_Period_Capacity_P2_t</t>
  </si>
  <si>
    <t>Total_Period_Capacity_P3_t</t>
  </si>
  <si>
    <t>Demand_Capacity_Ratio_P1</t>
  </si>
  <si>
    <t>Check feasibility pressure</t>
  </si>
  <si>
    <t>Demand_Capacity_Ratio_P2</t>
  </si>
  <si>
    <t>Demand_Capacity_Ratio_P3</t>
  </si>
  <si>
    <t>Supplier_ID</t>
  </si>
  <si>
    <t>X</t>
  </si>
  <si>
    <t>Y</t>
  </si>
  <si>
    <t>Quality</t>
  </si>
  <si>
    <t>P1_Demand_t</t>
  </si>
  <si>
    <t>P2_Demand_t</t>
  </si>
  <si>
    <t>P3_Demand_t</t>
  </si>
  <si>
    <t>Cluster</t>
  </si>
  <si>
    <t>S01</t>
  </si>
  <si>
    <t>NorthWest</t>
  </si>
  <si>
    <t>High-quality grove</t>
  </si>
  <si>
    <t>S02</t>
  </si>
  <si>
    <t>Near S07</t>
  </si>
  <si>
    <t>West</t>
  </si>
  <si>
    <t>Small premium producer</t>
  </si>
  <si>
    <t>CenterWest</t>
  </si>
  <si>
    <t>Accessible</t>
  </si>
  <si>
    <t>Vehicle_ID</t>
  </si>
  <si>
    <t>Compartment_ID</t>
  </si>
  <si>
    <t>Capacity_t</t>
  </si>
  <si>
    <t>P1_Available</t>
  </si>
  <si>
    <t>P2_Available</t>
  </si>
  <si>
    <t>P3_Available</t>
  </si>
  <si>
    <t>CleanCost_P1</t>
  </si>
  <si>
    <t>CleanCost_P2</t>
  </si>
  <si>
    <t>CleanCost_P3</t>
  </si>
  <si>
    <t>V1</t>
  </si>
  <si>
    <t>Base case medium cleaning cost</t>
  </si>
  <si>
    <t>V2</t>
  </si>
  <si>
    <t>P1_Init_Quality</t>
  </si>
  <si>
    <t>P2_Init_Quality</t>
  </si>
  <si>
    <t>P3_Init_Quality</t>
  </si>
  <si>
    <t>Scenario_Role</t>
  </si>
  <si>
    <t>Unfavorable before premium-heavy P2</t>
  </si>
  <si>
    <t>Mixed inherited state</t>
  </si>
  <si>
    <t>Γ(q,q') previous→next</t>
  </si>
  <si>
    <t>Interpretation</t>
  </si>
  <si>
    <t>1 = compatible without cleaning; 0 = incompatible unless cleaned</t>
  </si>
  <si>
    <t>Node_ID</t>
  </si>
  <si>
    <t>Node_Type</t>
  </si>
  <si>
    <t>D0</t>
  </si>
  <si>
    <t>Depot</t>
  </si>
  <si>
    <t>Supplier</t>
  </si>
  <si>
    <t>From\To</t>
  </si>
  <si>
    <t>CLEAN</t>
  </si>
  <si>
    <t>S03</t>
  </si>
  <si>
    <t>S04</t>
  </si>
  <si>
    <t>S05</t>
  </si>
  <si>
    <t>V3</t>
  </si>
  <si>
    <t>P4_Demand_t</t>
  </si>
  <si>
    <t>P5_Demand_t</t>
  </si>
  <si>
    <t>P6_Demand_t</t>
  </si>
  <si>
    <t>CleanCost_P4</t>
  </si>
  <si>
    <t>CleanCost_P5</t>
  </si>
  <si>
    <t>P5_Available</t>
  </si>
  <si>
    <t>P6_Available</t>
  </si>
  <si>
    <t>P4_Available</t>
  </si>
  <si>
    <t>CleanCost_P6</t>
  </si>
  <si>
    <t>P4_Init_Quality</t>
  </si>
  <si>
    <t>P5_Init_Quality</t>
  </si>
  <si>
    <t>P6_Init_Quality</t>
  </si>
  <si>
    <t>LoadingTimePerTon</t>
  </si>
  <si>
    <t xml:space="preserve">T_max_P1    </t>
  </si>
  <si>
    <t xml:space="preserve">T_max_P2    </t>
  </si>
  <si>
    <t xml:space="preserve">T_max_P3    </t>
  </si>
  <si>
    <t xml:space="preserve">T_max_P4    </t>
  </si>
  <si>
    <t xml:space="preserve">T_max_P5    </t>
  </si>
  <si>
    <t xml:space="preserve">T_max_P6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</si>
</sst>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sz val="11"/>
      <color rgb="FF666666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F"/>
      </patternFill>
    </fill>
    <fill>
      <patternFill patternType="solid">
        <fgColor rgb="FFE7E6E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164" fontId="4" fillId="4" borderId="0" xfId="0" applyNumberFormat="1" applyFont="1" applyFill="1" applyAlignment="1">
      <alignment vertical="center" wrapText="1"/>
    </xf>
    <xf numFmtId="0" fontId="6" fillId="5" borderId="0" xfId="0" applyFont="1" applyFill="1" applyAlignment="1">
      <alignment vertical="center" wrapText="1"/>
    </xf>
    <xf numFmtId="164" fontId="5" fillId="0" borderId="0" xfId="0" applyNumberFormat="1" applyFont="1" applyAlignment="1">
      <alignment vertical="center" wrapText="1"/>
    </xf>
    <xf numFmtId="0" fontId="0" fillId="6" borderId="0" xfId="0" applyFill="1" applyAlignment="1">
      <alignment vertical="center" wrapText="1"/>
    </xf>
    <xf numFmtId="0" fontId="5" fillId="6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Relationship Id="Rb6d9dfbd94164c0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581025</xdr:colOff>
      <xdr:row>17</xdr:row>
      <xdr:rowOff>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7255B72-6BE7-AB0F-6245-BEC64319EC6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0428265-A0E3-AEF6-6565-B1F544AE1E2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D609F97-47E3-F478-B56E-ADE5EB5F433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1B03882A-5D3F-4963-4C64-077F168DF19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518CB7E-1916-8AD0-F9DB-8C9AA1AC54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9DD0C19F-7CD4-C8E8-E14D-EFF18004066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757A33A-6669-85CC-12D8-B479F607F71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8A32935-A915-EF87-813F-A171D2A0673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72D874FF-4CC9-3667-1A4D-8E52403EAC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F714C5E1-AC59-D998-4B08-27723A68DD1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94FE1259-19C5-1A4E-8E4B-B28C85A53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7C8573CD-AEA2-5691-F52C-CC203EC90D8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2BF8DB41-3DC6-60F1-C267-F72E7B4C27E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B23EF985-94A9-2F86-3E04-2E58551F783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24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EDCF6F5A-433A-3D4E-464B-2CA5B9A7F15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13</xdr:col>
      <xdr:colOff>581025</xdr:colOff>
      <xdr:row>30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A6940C24-DDAF-A2D8-F1E2-880DC323689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42EC1839-50F9-C442-DCAF-9F7894601C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346162BA-88ED-4FD5-F308-45F37A9CC5C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B9F72FAD-FD99-78B1-0DEA-DC3D06C4886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9F819C03-9BB8-8A1E-DDB0-CD4F9A1562A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30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609BFEEB-BCBF-86F7-8E77-63BE7B70812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581025</xdr:colOff>
      <xdr:row>40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FD8A122C-4839-00F8-E7FA-F4B35863CC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46</xdr:row>
      <xdr:rowOff>7620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1BDECA1-E3FA-4D2D-8E2B-494E9F7599A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350520</xdr:colOff>
      <xdr:row>51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611E7BA5-5FF1-42DA-86EA-FC3A877856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64870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D772CFFB-5A33-0948-50C9-12DA239EB59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36538D60-D370-06CB-22A1-F6248CE2F01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52DEEED1-2CD8-6758-8F4A-62E88D046B6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9A2797B3-EADB-3448-8428-23561FDF96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1810C974-88B0-8096-9B5A-D2CFCD9ECD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8DB5316-A27B-27F5-A111-0EACECFDAE4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65C69579-7191-06AB-09DA-043F3187F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DD15B424-9FCC-0C3F-6D57-EA0346BE8EE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1119B98C-0C0A-B711-90F4-91F535E38FB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28AF6110-62E8-9E48-8343-D9A5BC6B59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FBE2CF52-8744-55DC-7D38-96A9429C36F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DFC28964-70E2-01E6-C749-F13285ABF2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7AC6D9E-2A5B-E92D-4E64-8B74AC2D51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E535B22D-5B11-5A4F-AFF1-D151C598CE0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8EA9D5-5CB9-8407-417B-4E6F02340E1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15</xdr:col>
      <xdr:colOff>1257300</xdr:colOff>
      <xdr:row>43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247F427-BD97-B044-7094-6A82ECFB96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3A2E6435-2889-64BA-78D3-CAC51070EEB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6B110422-91B9-1856-AD3C-B751DAF71E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C5C46B16-EDFC-509B-3D34-6CC7BC00595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B7C05BA-0A90-4A23-F149-D77B670CE87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254DEE6F-19B0-E82E-A099-18C6AAD88E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43294B46-A868-933D-CBF7-B1C3C52DEBE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E0867DF0-C809-C0D6-0CFE-83F99D06F2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B9E06383-8B18-7D26-55B4-6A774F26DCE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681D6FB1-CF09-4AE2-6755-ED91A17307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802941B1-9F19-E50A-0DA2-ACFBE8A1B20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DB41B7B-BFC1-7067-7B16-C03C0DB025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B83CB2BA-10EF-1082-556F-0EA8316DB5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440AACC4-FEC0-50AE-DC80-70EB37EA36F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42473C5E-9FDC-3E28-52F7-0F5A8734BAD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4B50E83-7945-4413-EAB1-B3F2FEB8564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C0572346-11BC-20C1-8F4B-E1F23B7D3D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39EF6B33-6247-1F5D-019D-1AB2733F7DE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12</xdr:col>
      <xdr:colOff>428625</xdr:colOff>
      <xdr:row>46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17CAA51B-E6C5-955F-C78E-737E3A30B04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DB0FCBD9-7FC0-4965-ECC9-E7EBB73A5AE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F1D04682-9C52-4AEA-874A-6DBF1F8745C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46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2E8AFFBA-EBA0-586B-7B93-E0929C83250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428625</xdr:colOff>
      <xdr:row>47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D7E52C7A-1674-EB86-E9D0-ACD3FFD528C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6625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3742C5CD-ECE9-4653-BC3E-A5FE875E23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9</xdr:col>
      <xdr:colOff>121920</xdr:colOff>
      <xdr:row>50</xdr:row>
      <xdr:rowOff>7620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90658ED5-59D7-47FA-A614-5B91517987F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094720" cy="93345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32</xdr:row>
      <xdr:rowOff>0</xdr:rowOff>
    </xdr:to>
    <xdr:sp macro="" textlink="">
      <xdr:nvSpPr>
        <xdr:cNvPr id="4098" name="Text Box 2" hidden="1">
          <a:extLst>
            <a:ext uri="{FF2B5EF4-FFF2-40B4-BE49-F238E27FC236}">
              <a16:creationId xmlns:a16="http://schemas.microsoft.com/office/drawing/2014/main" id="{CB61747B-EB38-C236-3D32-D9F22F5D964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292947F2-EC5A-65CF-91A0-FE95BF02DC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A98390C9-63E5-AA3D-FEC9-2514EED854FF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5E7644C3-5E3C-5AA9-20E9-46C9DD342E8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8B9EEEE1-4E00-C851-EFE0-BEBA245C33B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2FFE15BE-34BB-38EA-4FE9-7BD54A99E44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A89B6053-50EF-A463-72F6-F39520EBD91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33418E64-BB26-CE83-11CA-35E9C0C4E37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F5F7F1B9-96E6-AFFE-D1EC-C7313E86B7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5FA5C060-21C7-E0B9-1A9D-81666CCEF87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1F6C3A92-98C9-F1D4-B618-62C8A12668E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A193511-CF8F-DEFA-7768-C1B74D973D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3" name="AutoShape 2">
          <a:extLst>
            <a:ext uri="{FF2B5EF4-FFF2-40B4-BE49-F238E27FC236}">
              <a16:creationId xmlns:a16="http://schemas.microsoft.com/office/drawing/2014/main" id="{0E594FCD-16E7-9E1E-7F4B-043231287F1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4" name="AutoShape 2">
          <a:extLst>
            <a:ext uri="{FF2B5EF4-FFF2-40B4-BE49-F238E27FC236}">
              <a16:creationId xmlns:a16="http://schemas.microsoft.com/office/drawing/2014/main" id="{9DEBE249-3F8B-C77A-F0F2-EE7A39B22E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43</xdr:row>
      <xdr:rowOff>0</xdr:rowOff>
    </xdr:to>
    <xdr:sp macro="" textlink="">
      <xdr:nvSpPr>
        <xdr:cNvPr id="15" name="AutoShape 2">
          <a:extLst>
            <a:ext uri="{FF2B5EF4-FFF2-40B4-BE49-F238E27FC236}">
              <a16:creationId xmlns:a16="http://schemas.microsoft.com/office/drawing/2014/main" id="{A8744CD0-DECB-5496-E688-F9E218489818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6" name="AutoShape 2">
          <a:extLst>
            <a:ext uri="{FF2B5EF4-FFF2-40B4-BE49-F238E27FC236}">
              <a16:creationId xmlns:a16="http://schemas.microsoft.com/office/drawing/2014/main" id="{3532B5E3-1D86-F1A4-BCC1-41CCA55070E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7" name="AutoShape 2">
          <a:extLst>
            <a:ext uri="{FF2B5EF4-FFF2-40B4-BE49-F238E27FC236}">
              <a16:creationId xmlns:a16="http://schemas.microsoft.com/office/drawing/2014/main" id="{2BE04E37-1E8F-47D8-AF84-90572DF145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8" name="AutoShape 2">
          <a:extLst>
            <a:ext uri="{FF2B5EF4-FFF2-40B4-BE49-F238E27FC236}">
              <a16:creationId xmlns:a16="http://schemas.microsoft.com/office/drawing/2014/main" id="{9D0D81E2-4AD6-0897-7D87-C1A5E12E5361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19" name="AutoShape 2">
          <a:extLst>
            <a:ext uri="{FF2B5EF4-FFF2-40B4-BE49-F238E27FC236}">
              <a16:creationId xmlns:a16="http://schemas.microsoft.com/office/drawing/2014/main" id="{6DE0DFA3-1D92-4A5F-4A2C-95E8F2FA956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20" name="AutoShape 2">
          <a:extLst>
            <a:ext uri="{FF2B5EF4-FFF2-40B4-BE49-F238E27FC236}">
              <a16:creationId xmlns:a16="http://schemas.microsoft.com/office/drawing/2014/main" id="{0A40D4C5-45C6-68B2-1CB8-19F601549B0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21" name="AutoShape 2">
          <a:extLst>
            <a:ext uri="{FF2B5EF4-FFF2-40B4-BE49-F238E27FC236}">
              <a16:creationId xmlns:a16="http://schemas.microsoft.com/office/drawing/2014/main" id="{B9DB76EB-06F6-8FFE-10E3-3A83CC6BDE5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2005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723900</xdr:colOff>
      <xdr:row>49</xdr:row>
      <xdr:rowOff>0</xdr:rowOff>
    </xdr:to>
    <xdr:sp macro="" textlink="">
      <xdr:nvSpPr>
        <xdr:cNvPr id="22" name="AutoShape 2">
          <a:extLst>
            <a:ext uri="{FF2B5EF4-FFF2-40B4-BE49-F238E27FC236}">
              <a16:creationId xmlns:a16="http://schemas.microsoft.com/office/drawing/2014/main" id="{FC81E09A-2725-83C8-9319-2D3E89E6418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0772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3" name="AutoShape 2">
          <a:extLst>
            <a:ext uri="{FF2B5EF4-FFF2-40B4-BE49-F238E27FC236}">
              <a16:creationId xmlns:a16="http://schemas.microsoft.com/office/drawing/2014/main" id="{AFC6B608-115C-4550-82F1-BA40E77B56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579120</xdr:colOff>
      <xdr:row>50</xdr:row>
      <xdr:rowOff>0</xdr:rowOff>
    </xdr:to>
    <xdr:sp macro="" textlink="">
      <xdr:nvSpPr>
        <xdr:cNvPr id="24" name="AutoShape 2">
          <a:extLst>
            <a:ext uri="{FF2B5EF4-FFF2-40B4-BE49-F238E27FC236}">
              <a16:creationId xmlns:a16="http://schemas.microsoft.com/office/drawing/2014/main" id="{3D5F6694-AF64-4C5E-B5DD-9A793C89F4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229600" cy="9144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OpenAI" id="{60050CFF-5EC3-4D8F-0536-A188004D6C09}"/>
  <xltc:person displayName="OpenAI" id="{6FD16ECC-A053-A8DE-AAAF-809AD78C1D66}"/>
  <xltc:person displayName="OpenAI" id="{5EF57EA0-A89F-C668-C2A5-EB796B04EFDE}"/>
  <xltc:person displayName="OpenAI" id="{0650157C-64D9-4ADB-B0BC-84C211327C0A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opLeftCell="A7" workbookViewId="0"/>
  </sheetViews>
  <sheetFormatPr baseColWidth="10" defaultColWidth="9.109375" defaultRowHeight="14.4" x14ac:dyDescent="0.3"/>
  <cols>
    <col min="1" max="1" width="29" customWidth="1"/>
    <col min="2" max="2" width="30" customWidth="1"/>
  </cols>
  <sheetData>
    <row r="1" spans="1:2" ht="36" x14ac:dyDescent="0.3">
      <c r="A1" s="1" t="s">
        <v>0</v>
      </c>
      <c r="B1" s="2" t="s">
        <v>1</v>
      </c>
    </row>
    <row r="2" spans="1:2" ht="72" x14ac:dyDescent="0.3">
      <c r="A2" s="3" t="s">
        <v>2</v>
      </c>
      <c r="B2" s="2" t="s">
        <v>3</v>
      </c>
    </row>
    <row r="3" spans="1:2" ht="28.8" x14ac:dyDescent="0.3">
      <c r="A3" s="3" t="s">
        <v>4</v>
      </c>
      <c r="B3" s="2" t="s">
        <v>5</v>
      </c>
    </row>
    <row r="4" spans="1:2" ht="43.2" x14ac:dyDescent="0.3">
      <c r="A4" s="3" t="s">
        <v>6</v>
      </c>
      <c r="B4" s="2" t="s">
        <v>7</v>
      </c>
    </row>
    <row r="5" spans="1:2" x14ac:dyDescent="0.3">
      <c r="A5" s="3" t="s">
        <v>8</v>
      </c>
      <c r="B5" s="2" t="s">
        <v>1</v>
      </c>
    </row>
    <row r="6" spans="1:2" ht="43.2" x14ac:dyDescent="0.3">
      <c r="A6" s="3" t="s">
        <v>9</v>
      </c>
      <c r="B6" s="2" t="s">
        <v>10</v>
      </c>
    </row>
    <row r="7" spans="1:2" ht="43.2" x14ac:dyDescent="0.3">
      <c r="A7" s="3" t="s">
        <v>11</v>
      </c>
      <c r="B7" s="2" t="s">
        <v>12</v>
      </c>
    </row>
    <row r="8" spans="1:2" ht="57.6" x14ac:dyDescent="0.3">
      <c r="A8" s="3" t="s">
        <v>13</v>
      </c>
      <c r="B8" s="2" t="s">
        <v>14</v>
      </c>
    </row>
    <row r="9" spans="1:2" ht="43.2" x14ac:dyDescent="0.3">
      <c r="A9" s="3" t="s">
        <v>15</v>
      </c>
      <c r="B9" s="2" t="s">
        <v>16</v>
      </c>
    </row>
    <row r="10" spans="1:2" ht="57.6" x14ac:dyDescent="0.3">
      <c r="A10" s="3" t="s">
        <v>17</v>
      </c>
      <c r="B10" s="2" t="s">
        <v>18</v>
      </c>
    </row>
    <row r="11" spans="1:2" ht="43.2" x14ac:dyDescent="0.3">
      <c r="A11" s="3" t="s">
        <v>19</v>
      </c>
      <c r="B11" s="2" t="s">
        <v>20</v>
      </c>
    </row>
    <row r="12" spans="1:2" ht="43.2" x14ac:dyDescent="0.3">
      <c r="A12" s="3" t="s">
        <v>21</v>
      </c>
      <c r="B12" s="2" t="s">
        <v>22</v>
      </c>
    </row>
    <row r="13" spans="1:2" ht="57.6" x14ac:dyDescent="0.3">
      <c r="A13" s="3" t="s">
        <v>23</v>
      </c>
      <c r="B13" s="2" t="s">
        <v>24</v>
      </c>
    </row>
    <row r="14" spans="1:2" ht="72" x14ac:dyDescent="0.3">
      <c r="A14" s="3" t="s">
        <v>25</v>
      </c>
      <c r="B14" s="2" t="s">
        <v>26</v>
      </c>
    </row>
    <row r="15" spans="1:2" ht="43.2" x14ac:dyDescent="0.3">
      <c r="A15" s="3" t="s">
        <v>27</v>
      </c>
      <c r="B15" s="2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baseColWidth="10" defaultColWidth="9.109375" defaultRowHeight="14.4" x14ac:dyDescent="0.3"/>
  <cols>
    <col min="1" max="1" width="16" customWidth="1"/>
  </cols>
  <sheetData>
    <row r="1" spans="1:1" x14ac:dyDescent="0.3">
      <c r="A1" s="4" t="s">
        <v>29</v>
      </c>
    </row>
    <row r="2" spans="1:1" x14ac:dyDescent="0.3">
      <c r="A2" s="2" t="s">
        <v>30</v>
      </c>
    </row>
    <row r="3" spans="1:1" x14ac:dyDescent="0.3">
      <c r="A3" s="2" t="s">
        <v>31</v>
      </c>
    </row>
    <row r="4" spans="1:1" x14ac:dyDescent="0.3">
      <c r="A4" s="2" t="s">
        <v>32</v>
      </c>
    </row>
    <row r="5" spans="1:1" x14ac:dyDescent="0.3">
      <c r="A5" s="2" t="s">
        <v>33</v>
      </c>
    </row>
    <row r="6" spans="1:1" x14ac:dyDescent="0.3">
      <c r="A6" s="2"/>
    </row>
    <row r="7" spans="1:1" x14ac:dyDescent="0.3">
      <c r="A7" s="4" t="s">
        <v>34</v>
      </c>
    </row>
    <row r="8" spans="1:1" x14ac:dyDescent="0.3">
      <c r="A8" s="2" t="s">
        <v>35</v>
      </c>
    </row>
    <row r="9" spans="1:1" x14ac:dyDescent="0.3">
      <c r="A9" s="2" t="s">
        <v>36</v>
      </c>
    </row>
    <row r="10" spans="1:1" x14ac:dyDescent="0.3">
      <c r="A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3"/>
  <sheetViews>
    <sheetView workbookViewId="0"/>
  </sheetViews>
  <sheetFormatPr baseColWidth="10" defaultColWidth="9.109375" defaultRowHeight="14.4" x14ac:dyDescent="0.3"/>
  <cols>
    <col min="1" max="1" width="13" customWidth="1"/>
    <col min="2" max="2" width="23" customWidth="1"/>
    <col min="3" max="3" width="15" customWidth="1"/>
    <col min="4" max="4" width="13" customWidth="1"/>
    <col min="5" max="5" width="14" customWidth="1"/>
    <col min="6" max="6" width="26" customWidth="1"/>
    <col min="7" max="7" width="28" customWidth="1"/>
    <col min="8" max="8" width="22" customWidth="1"/>
    <col min="9" max="9" width="21" customWidth="1"/>
    <col min="10" max="10" width="25" customWidth="1"/>
    <col min="11" max="11" width="26" customWidth="1"/>
    <col min="12" max="12" width="30" customWidth="1"/>
  </cols>
  <sheetData>
    <row r="1" spans="1:12" x14ac:dyDescent="0.3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  <c r="I1" s="5" t="s">
        <v>46</v>
      </c>
      <c r="J1" s="5" t="s">
        <v>47</v>
      </c>
      <c r="K1" s="5" t="s">
        <v>48</v>
      </c>
      <c r="L1" s="5" t="s">
        <v>49</v>
      </c>
    </row>
    <row r="2" spans="1:12" x14ac:dyDescent="0.3">
      <c r="A2" s="2" t="s">
        <v>50</v>
      </c>
      <c r="B2" s="2" t="s">
        <v>51</v>
      </c>
      <c r="C2" s="2">
        <v>12</v>
      </c>
      <c r="D2" s="2">
        <v>1</v>
      </c>
      <c r="E2" s="2">
        <v>2</v>
      </c>
      <c r="F2" s="2">
        <v>2</v>
      </c>
      <c r="G2" s="2">
        <v>8</v>
      </c>
      <c r="H2" s="2" t="s">
        <v>35</v>
      </c>
      <c r="I2" s="2" t="s">
        <v>36</v>
      </c>
      <c r="J2" s="2" t="s">
        <v>52</v>
      </c>
      <c r="K2" s="2" t="s">
        <v>53</v>
      </c>
      <c r="L2" s="2" t="s">
        <v>54</v>
      </c>
    </row>
    <row r="3" spans="1:12" x14ac:dyDescent="0.3">
      <c r="A3" s="2" t="s">
        <v>55</v>
      </c>
      <c r="B3" s="2" t="s">
        <v>51</v>
      </c>
      <c r="C3" s="2">
        <v>12</v>
      </c>
      <c r="D3" s="2">
        <v>1</v>
      </c>
      <c r="E3" s="2">
        <v>2</v>
      </c>
      <c r="F3" s="2">
        <v>2</v>
      </c>
      <c r="G3" s="2">
        <v>8</v>
      </c>
      <c r="H3" s="2" t="s">
        <v>35</v>
      </c>
      <c r="I3" s="2" t="s">
        <v>37</v>
      </c>
      <c r="J3" s="2" t="s">
        <v>52</v>
      </c>
      <c r="K3" s="2" t="s">
        <v>53</v>
      </c>
      <c r="L3" s="2" t="s">
        <v>56</v>
      </c>
    </row>
    <row r="4" spans="1:12" x14ac:dyDescent="0.3">
      <c r="A4" s="2" t="s">
        <v>57</v>
      </c>
      <c r="B4" s="2" t="s">
        <v>51</v>
      </c>
      <c r="C4" s="2">
        <v>12</v>
      </c>
      <c r="D4" s="2">
        <v>2</v>
      </c>
      <c r="E4" s="2">
        <v>2</v>
      </c>
      <c r="F4" s="2">
        <v>2</v>
      </c>
      <c r="G4" s="2">
        <v>8</v>
      </c>
      <c r="H4" s="2" t="s">
        <v>35</v>
      </c>
      <c r="I4" s="2" t="s">
        <v>36</v>
      </c>
      <c r="J4" s="2" t="s">
        <v>58</v>
      </c>
      <c r="K4" s="2" t="s">
        <v>53</v>
      </c>
      <c r="L4" s="2" t="s">
        <v>59</v>
      </c>
    </row>
    <row r="5" spans="1:12" x14ac:dyDescent="0.3">
      <c r="A5" s="2" t="s">
        <v>60</v>
      </c>
      <c r="B5" s="2" t="s">
        <v>51</v>
      </c>
      <c r="C5" s="2">
        <v>12</v>
      </c>
      <c r="D5" s="2">
        <v>2</v>
      </c>
      <c r="E5" s="2">
        <v>2</v>
      </c>
      <c r="F5" s="2">
        <v>2</v>
      </c>
      <c r="G5" s="2">
        <v>8</v>
      </c>
      <c r="H5" s="2" t="s">
        <v>35</v>
      </c>
      <c r="I5" s="2" t="s">
        <v>37</v>
      </c>
      <c r="J5" s="2" t="s">
        <v>58</v>
      </c>
      <c r="K5" s="2" t="s">
        <v>53</v>
      </c>
      <c r="L5" s="2" t="s">
        <v>61</v>
      </c>
    </row>
    <row r="6" spans="1:12" x14ac:dyDescent="0.3">
      <c r="A6" s="2" t="s">
        <v>62</v>
      </c>
      <c r="B6" s="2" t="s">
        <v>63</v>
      </c>
      <c r="C6" s="2">
        <v>15</v>
      </c>
      <c r="D6" s="2">
        <v>1</v>
      </c>
      <c r="E6" s="2">
        <v>2</v>
      </c>
      <c r="F6" s="2">
        <v>2</v>
      </c>
      <c r="G6" s="2">
        <v>6</v>
      </c>
      <c r="H6" s="2" t="s">
        <v>37</v>
      </c>
      <c r="I6" s="2" t="s">
        <v>35</v>
      </c>
      <c r="J6" s="2" t="s">
        <v>52</v>
      </c>
      <c r="K6" s="2" t="s">
        <v>64</v>
      </c>
      <c r="L6" s="2" t="s">
        <v>65</v>
      </c>
    </row>
    <row r="7" spans="1:12" x14ac:dyDescent="0.3">
      <c r="A7" s="2" t="s">
        <v>66</v>
      </c>
      <c r="B7" s="2" t="s">
        <v>63</v>
      </c>
      <c r="C7" s="2">
        <v>15</v>
      </c>
      <c r="D7" s="2">
        <v>1</v>
      </c>
      <c r="E7" s="2">
        <v>2</v>
      </c>
      <c r="F7" s="2">
        <v>2</v>
      </c>
      <c r="G7" s="2">
        <v>6</v>
      </c>
      <c r="H7" s="2" t="s">
        <v>37</v>
      </c>
      <c r="I7" s="2" t="s">
        <v>36</v>
      </c>
      <c r="J7" s="2" t="s">
        <v>52</v>
      </c>
      <c r="K7" s="2" t="s">
        <v>64</v>
      </c>
      <c r="L7" s="2" t="s">
        <v>67</v>
      </c>
    </row>
    <row r="8" spans="1:12" x14ac:dyDescent="0.3">
      <c r="A8" s="2" t="s">
        <v>68</v>
      </c>
      <c r="B8" s="2" t="s">
        <v>63</v>
      </c>
      <c r="C8" s="2">
        <v>15</v>
      </c>
      <c r="D8" s="2">
        <v>1</v>
      </c>
      <c r="E8" s="2">
        <v>2</v>
      </c>
      <c r="F8" s="2">
        <v>2</v>
      </c>
      <c r="G8" s="2">
        <v>6</v>
      </c>
      <c r="H8" s="2" t="s">
        <v>37</v>
      </c>
      <c r="I8" s="2" t="s">
        <v>37</v>
      </c>
      <c r="J8" s="2" t="s">
        <v>52</v>
      </c>
      <c r="K8" s="2" t="s">
        <v>64</v>
      </c>
      <c r="L8" s="2" t="s">
        <v>69</v>
      </c>
    </row>
    <row r="9" spans="1:12" x14ac:dyDescent="0.3">
      <c r="A9" s="2" t="s">
        <v>70</v>
      </c>
      <c r="B9" s="2" t="s">
        <v>63</v>
      </c>
      <c r="C9" s="2">
        <v>15</v>
      </c>
      <c r="D9" s="2">
        <v>1</v>
      </c>
      <c r="E9" s="2">
        <v>2</v>
      </c>
      <c r="F9" s="2">
        <v>2</v>
      </c>
      <c r="G9" s="2">
        <v>6</v>
      </c>
      <c r="H9" s="2" t="s">
        <v>37</v>
      </c>
      <c r="I9" s="2" t="s">
        <v>36</v>
      </c>
      <c r="J9" s="2" t="s">
        <v>52</v>
      </c>
      <c r="K9" s="2" t="s">
        <v>64</v>
      </c>
      <c r="L9" s="2" t="s">
        <v>71</v>
      </c>
    </row>
    <row r="10" spans="1:12" x14ac:dyDescent="0.3">
      <c r="A10" s="2" t="s">
        <v>72</v>
      </c>
      <c r="B10" s="2" t="s">
        <v>73</v>
      </c>
      <c r="C10" s="2">
        <v>16</v>
      </c>
      <c r="D10" s="2">
        <v>3</v>
      </c>
      <c r="E10" s="2">
        <v>2</v>
      </c>
      <c r="F10" s="2">
        <v>2</v>
      </c>
      <c r="G10" s="2">
        <v>8</v>
      </c>
      <c r="H10" s="2" t="s">
        <v>36</v>
      </c>
      <c r="I10" s="2" t="s">
        <v>35</v>
      </c>
      <c r="J10" s="2" t="s">
        <v>52</v>
      </c>
      <c r="K10" s="2" t="s">
        <v>74</v>
      </c>
      <c r="L10" s="2" t="s">
        <v>75</v>
      </c>
    </row>
    <row r="11" spans="1:12" x14ac:dyDescent="0.3">
      <c r="A11" s="2" t="s">
        <v>76</v>
      </c>
      <c r="B11" s="2" t="s">
        <v>73</v>
      </c>
      <c r="C11" s="2">
        <v>16</v>
      </c>
      <c r="D11" s="2">
        <v>3</v>
      </c>
      <c r="E11" s="2">
        <v>2</v>
      </c>
      <c r="F11" s="2">
        <v>2</v>
      </c>
      <c r="G11" s="2">
        <v>8</v>
      </c>
      <c r="H11" s="2" t="s">
        <v>36</v>
      </c>
      <c r="I11" s="2" t="s">
        <v>37</v>
      </c>
      <c r="J11" s="2" t="s">
        <v>52</v>
      </c>
      <c r="K11" s="2" t="s">
        <v>74</v>
      </c>
      <c r="L11" s="2" t="s">
        <v>77</v>
      </c>
    </row>
    <row r="12" spans="1:12" x14ac:dyDescent="0.3">
      <c r="A12" s="2" t="s">
        <v>78</v>
      </c>
      <c r="B12" s="2" t="s">
        <v>73</v>
      </c>
      <c r="C12" s="2">
        <v>16</v>
      </c>
      <c r="D12" s="2">
        <v>3</v>
      </c>
      <c r="E12" s="2">
        <v>2</v>
      </c>
      <c r="F12" s="2">
        <v>2</v>
      </c>
      <c r="G12" s="2">
        <v>8</v>
      </c>
      <c r="H12" s="2" t="s">
        <v>36</v>
      </c>
      <c r="I12" s="2" t="s">
        <v>36</v>
      </c>
      <c r="J12" s="2" t="s">
        <v>79</v>
      </c>
      <c r="K12" s="2" t="s">
        <v>74</v>
      </c>
      <c r="L12" s="2" t="s">
        <v>80</v>
      </c>
    </row>
    <row r="13" spans="1:12" x14ac:dyDescent="0.3">
      <c r="A13" s="2" t="s">
        <v>81</v>
      </c>
      <c r="B13" s="2" t="s">
        <v>73</v>
      </c>
      <c r="C13" s="2">
        <v>16</v>
      </c>
      <c r="D13" s="2">
        <v>3</v>
      </c>
      <c r="E13" s="2">
        <v>2</v>
      </c>
      <c r="F13" s="2">
        <v>2</v>
      </c>
      <c r="G13" s="2">
        <v>8</v>
      </c>
      <c r="H13" s="2" t="s">
        <v>36</v>
      </c>
      <c r="I13" s="2" t="s">
        <v>37</v>
      </c>
      <c r="J13" s="2" t="s">
        <v>82</v>
      </c>
      <c r="K13" s="2" t="s">
        <v>74</v>
      </c>
      <c r="L13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7"/>
  <sheetViews>
    <sheetView tabSelected="1" topLeftCell="A25" workbookViewId="0">
      <selection activeCell="B32" sqref="B32"/>
    </sheetView>
  </sheetViews>
  <sheetFormatPr baseColWidth="10" defaultColWidth="9.109375" defaultRowHeight="14.4" x14ac:dyDescent="0.3"/>
  <cols>
    <col min="1" max="2" width="30" customWidth="1"/>
    <col min="3" max="3" width="10" customWidth="1"/>
    <col min="4" max="4" width="30" customWidth="1"/>
  </cols>
  <sheetData>
    <row r="1" spans="1:4" x14ac:dyDescent="0.3">
      <c r="A1" s="5" t="s">
        <v>84</v>
      </c>
      <c r="B1" s="5" t="s">
        <v>85</v>
      </c>
      <c r="C1" s="5" t="s">
        <v>86</v>
      </c>
      <c r="D1" s="5" t="s">
        <v>87</v>
      </c>
    </row>
    <row r="2" spans="1:4" ht="28.8" x14ac:dyDescent="0.3">
      <c r="A2" s="2" t="s">
        <v>88</v>
      </c>
      <c r="B2" s="6" t="s">
        <v>78</v>
      </c>
      <c r="C2" s="2" t="s">
        <v>89</v>
      </c>
      <c r="D2" s="2" t="s">
        <v>90</v>
      </c>
    </row>
    <row r="3" spans="1:4" x14ac:dyDescent="0.3">
      <c r="A3" s="2" t="s">
        <v>39</v>
      </c>
      <c r="B3" s="7" t="str">
        <f>INDEX(Instance_Catalog!$B$2:$B$13,MATCH(B2,Instance_Catalog!$A$2:$A$13,0))</f>
        <v>Hierarchical conflict</v>
      </c>
      <c r="C3" s="2" t="s">
        <v>91</v>
      </c>
      <c r="D3" s="2" t="s">
        <v>92</v>
      </c>
    </row>
    <row r="4" spans="1:4" x14ac:dyDescent="0.3">
      <c r="A4" s="2" t="s">
        <v>40</v>
      </c>
      <c r="B4" s="7">
        <f>INDEX(Instance_Catalog!$C$2:$C$13,MATCH(B2,Instance_Catalog!$A$2:$A$13,0))</f>
        <v>16</v>
      </c>
      <c r="C4" s="2" t="s">
        <v>91</v>
      </c>
      <c r="D4" s="2" t="s">
        <v>92</v>
      </c>
    </row>
    <row r="5" spans="1:4" x14ac:dyDescent="0.3">
      <c r="A5" s="2" t="s">
        <v>41</v>
      </c>
      <c r="B5" s="7">
        <v>6</v>
      </c>
      <c r="C5" s="2" t="s">
        <v>91</v>
      </c>
      <c r="D5" s="2" t="s">
        <v>92</v>
      </c>
    </row>
    <row r="6" spans="1:4" x14ac:dyDescent="0.3">
      <c r="A6" s="11" t="s">
        <v>181</v>
      </c>
      <c r="B6" s="12">
        <v>1</v>
      </c>
      <c r="C6" s="2" t="s">
        <v>91</v>
      </c>
      <c r="D6" s="2" t="s">
        <v>92</v>
      </c>
    </row>
    <row r="7" spans="1:4" x14ac:dyDescent="0.3">
      <c r="A7" s="2" t="s">
        <v>42</v>
      </c>
      <c r="B7" s="7">
        <v>3</v>
      </c>
      <c r="C7" s="2" t="s">
        <v>91</v>
      </c>
      <c r="D7" s="2" t="s">
        <v>92</v>
      </c>
    </row>
    <row r="8" spans="1:4" x14ac:dyDescent="0.3">
      <c r="A8" s="2" t="s">
        <v>43</v>
      </c>
      <c r="B8" s="7">
        <f>INDEX(Instance_Catalog!$F$2:$F$13,MATCH(B2,Instance_Catalog!$A$2:$A$13,0))</f>
        <v>2</v>
      </c>
      <c r="C8" s="2" t="s">
        <v>91</v>
      </c>
      <c r="D8" s="2" t="s">
        <v>92</v>
      </c>
    </row>
    <row r="9" spans="1:4" x14ac:dyDescent="0.3">
      <c r="A9" s="2" t="s">
        <v>44</v>
      </c>
      <c r="B9" s="7">
        <f>INDEX(Instance_Catalog!$G$2:$G$13,MATCH(B2,Instance_Catalog!$A$2:$A$13,0))</f>
        <v>8</v>
      </c>
      <c r="C9" s="2" t="s">
        <v>91</v>
      </c>
      <c r="D9" s="2" t="s">
        <v>92</v>
      </c>
    </row>
    <row r="10" spans="1:4" x14ac:dyDescent="0.3">
      <c r="A10" s="2" t="s">
        <v>45</v>
      </c>
      <c r="B10" s="7" t="str">
        <f>INDEX(Instance_Catalog!$H$2:$H$13,MATCH(B2,Instance_Catalog!$A$2:$A$13,0))</f>
        <v>Medium</v>
      </c>
      <c r="C10" s="2" t="s">
        <v>91</v>
      </c>
      <c r="D10" s="2" t="s">
        <v>92</v>
      </c>
    </row>
    <row r="11" spans="1:4" x14ac:dyDescent="0.3">
      <c r="A11" s="2" t="s">
        <v>46</v>
      </c>
      <c r="B11" s="7" t="str">
        <f>INDEX(Instance_Catalog!$I$2:$I$13,MATCH(B2,Instance_Catalog!$A$2:$A$13,0))</f>
        <v>Medium</v>
      </c>
      <c r="C11" s="2" t="s">
        <v>91</v>
      </c>
      <c r="D11" s="2" t="s">
        <v>92</v>
      </c>
    </row>
    <row r="12" spans="1:4" x14ac:dyDescent="0.3">
      <c r="A12" s="2" t="s">
        <v>47</v>
      </c>
      <c r="B12" s="7" t="str">
        <f>INDEX(Instance_Catalog!$J$2:$J$13,MATCH(B2,Instance_Catalog!$A$2:$A$13,0))</f>
        <v>Unfavorable</v>
      </c>
      <c r="C12" s="2" t="s">
        <v>91</v>
      </c>
      <c r="D12" s="2" t="s">
        <v>92</v>
      </c>
    </row>
    <row r="13" spans="1:4" x14ac:dyDescent="0.3">
      <c r="A13" s="2" t="s">
        <v>48</v>
      </c>
      <c r="B13" s="7" t="str">
        <f>INDEX(Instance_Catalog!$K$2:$K$13,MATCH(B2,Instance_Catalog!$A$2:$A$13,0))</f>
        <v>Low-&gt;High quality shift</v>
      </c>
      <c r="C13" s="2" t="s">
        <v>91</v>
      </c>
      <c r="D13" s="2" t="s">
        <v>92</v>
      </c>
    </row>
    <row r="14" spans="1:4" x14ac:dyDescent="0.3">
      <c r="A14" s="2" t="s">
        <v>49</v>
      </c>
      <c r="B14" s="7" t="str">
        <f>INDEX(Instance_Catalog!$L$2:$L$13,MATCH(B2,Instance_Catalog!$A$2:$A$13,0))</f>
        <v>State inheritance impact</v>
      </c>
      <c r="C14" s="2" t="s">
        <v>91</v>
      </c>
      <c r="D14" s="2" t="s">
        <v>92</v>
      </c>
    </row>
    <row r="15" spans="1:4" x14ac:dyDescent="0.3">
      <c r="A15" s="2" t="s">
        <v>93</v>
      </c>
      <c r="B15" s="8">
        <v>50</v>
      </c>
      <c r="C15" s="2" t="s">
        <v>89</v>
      </c>
      <c r="D15" s="2" t="s">
        <v>94</v>
      </c>
    </row>
    <row r="16" spans="1:4" x14ac:dyDescent="0.3">
      <c r="A16" s="2" t="s">
        <v>95</v>
      </c>
      <c r="B16" s="8">
        <v>50</v>
      </c>
      <c r="C16" s="2" t="s">
        <v>89</v>
      </c>
      <c r="D16" s="2" t="s">
        <v>96</v>
      </c>
    </row>
    <row r="17" spans="1:4" ht="28.8" x14ac:dyDescent="0.3">
      <c r="A17" s="2" t="s">
        <v>97</v>
      </c>
      <c r="B17" s="8">
        <v>3</v>
      </c>
      <c r="C17" s="2" t="s">
        <v>89</v>
      </c>
      <c r="D17" s="2" t="s">
        <v>98</v>
      </c>
    </row>
    <row r="18" spans="1:4" x14ac:dyDescent="0.3">
      <c r="A18" s="2" t="s">
        <v>99</v>
      </c>
      <c r="B18" s="8">
        <v>1</v>
      </c>
      <c r="C18" s="2" t="s">
        <v>89</v>
      </c>
      <c r="D18" s="2" t="s">
        <v>100</v>
      </c>
    </row>
    <row r="19" spans="1:4" ht="43.2" x14ac:dyDescent="0.3">
      <c r="A19" s="2" t="s">
        <v>101</v>
      </c>
      <c r="B19" s="9" t="s">
        <v>102</v>
      </c>
      <c r="C19" s="2" t="s">
        <v>103</v>
      </c>
      <c r="D19" s="2" t="s">
        <v>104</v>
      </c>
    </row>
    <row r="20" spans="1:4" x14ac:dyDescent="0.3">
      <c r="A20" s="2"/>
      <c r="B20" s="2"/>
      <c r="C20" s="2"/>
      <c r="D20" s="2"/>
    </row>
    <row r="21" spans="1:4" x14ac:dyDescent="0.3">
      <c r="A21" s="3" t="s">
        <v>105</v>
      </c>
      <c r="B21" s="3"/>
      <c r="C21" s="3"/>
      <c r="D21" s="3"/>
    </row>
    <row r="22" spans="1:4" x14ac:dyDescent="0.3">
      <c r="A22" s="2" t="s">
        <v>106</v>
      </c>
      <c r="B22" s="10">
        <f>SUM(Suppliers!E2:E5)</f>
        <v>6.5</v>
      </c>
      <c r="C22" s="2" t="s">
        <v>91</v>
      </c>
      <c r="D22" s="2" t="s">
        <v>107</v>
      </c>
    </row>
    <row r="23" spans="1:4" x14ac:dyDescent="0.3">
      <c r="A23" s="2" t="s">
        <v>108</v>
      </c>
      <c r="B23" s="10">
        <f>SUM(Suppliers!F2:F5)</f>
        <v>8.5</v>
      </c>
      <c r="C23" s="2" t="s">
        <v>91</v>
      </c>
      <c r="D23" s="2" t="s">
        <v>107</v>
      </c>
    </row>
    <row r="24" spans="1:4" x14ac:dyDescent="0.3">
      <c r="A24" s="2" t="s">
        <v>109</v>
      </c>
      <c r="B24" s="10">
        <f>SUM(Suppliers!G2:G5)</f>
        <v>6.5</v>
      </c>
      <c r="C24" s="2" t="s">
        <v>91</v>
      </c>
      <c r="D24" s="2" t="s">
        <v>107</v>
      </c>
    </row>
    <row r="25" spans="1:4" ht="28.8" x14ac:dyDescent="0.3">
      <c r="A25" s="2" t="s">
        <v>110</v>
      </c>
      <c r="B25" s="7">
        <f>COUNTIFS(Fleet!D2:D2,1)+COUNTIFS(Fleet!E2:E2,1)+COUNTIFS(Fleet!F2:F2,1)</f>
        <v>3</v>
      </c>
      <c r="C25" s="2" t="s">
        <v>91</v>
      </c>
      <c r="D25" s="2" t="s">
        <v>111</v>
      </c>
    </row>
    <row r="26" spans="1:4" x14ac:dyDescent="0.3">
      <c r="A26" s="2" t="s">
        <v>112</v>
      </c>
      <c r="B26" s="10">
        <f>SUMPRODUCT(Fleet!$C$2:$C$2,Fleet!$D$2:$D$2)*$B$17</f>
        <v>30</v>
      </c>
      <c r="C26" s="2" t="s">
        <v>91</v>
      </c>
      <c r="D26" s="2" t="s">
        <v>113</v>
      </c>
    </row>
    <row r="27" spans="1:4" x14ac:dyDescent="0.3">
      <c r="A27" s="2" t="s">
        <v>114</v>
      </c>
      <c r="B27" s="10">
        <f>SUMPRODUCT(Fleet!$C$2:$C$2,Fleet!$E$2:$E$2)*$B$17</f>
        <v>30</v>
      </c>
      <c r="C27" s="2" t="s">
        <v>91</v>
      </c>
      <c r="D27" s="2" t="s">
        <v>113</v>
      </c>
    </row>
    <row r="28" spans="1:4" x14ac:dyDescent="0.3">
      <c r="A28" s="2" t="s">
        <v>115</v>
      </c>
      <c r="B28" s="10">
        <f>SUMPRODUCT(Fleet!$C$2:$C$2,Fleet!$F$2:$F$2)*$B$17</f>
        <v>30</v>
      </c>
      <c r="C28" s="2" t="s">
        <v>91</v>
      </c>
      <c r="D28" s="2" t="s">
        <v>113</v>
      </c>
    </row>
    <row r="29" spans="1:4" x14ac:dyDescent="0.3">
      <c r="A29" s="2" t="s">
        <v>116</v>
      </c>
      <c r="B29" s="10">
        <f>IF(B26=0,"",B22/B26)</f>
        <v>0.21666666666666667</v>
      </c>
      <c r="C29" s="2" t="s">
        <v>91</v>
      </c>
      <c r="D29" s="2" t="s">
        <v>117</v>
      </c>
    </row>
    <row r="30" spans="1:4" x14ac:dyDescent="0.3">
      <c r="A30" s="2" t="s">
        <v>118</v>
      </c>
      <c r="B30" s="10">
        <f>IF(B27=0,"",B23/B27)</f>
        <v>0.28333333333333333</v>
      </c>
      <c r="C30" s="2" t="s">
        <v>91</v>
      </c>
      <c r="D30" s="2" t="s">
        <v>117</v>
      </c>
    </row>
    <row r="31" spans="1:4" x14ac:dyDescent="0.3">
      <c r="A31" s="2" t="s">
        <v>119</v>
      </c>
      <c r="B31" s="10">
        <f>IF(B28=0,"",B24/B28)</f>
        <v>0.21666666666666667</v>
      </c>
      <c r="C31" s="2" t="s">
        <v>91</v>
      </c>
      <c r="D31" s="2" t="s">
        <v>117</v>
      </c>
    </row>
    <row r="32" spans="1:4" x14ac:dyDescent="0.3">
      <c r="A32" t="s">
        <v>182</v>
      </c>
      <c r="B32">
        <v>540</v>
      </c>
    </row>
    <row r="33" spans="1:2" x14ac:dyDescent="0.3">
      <c r="A33" t="s">
        <v>183</v>
      </c>
      <c r="B33">
        <v>540</v>
      </c>
    </row>
    <row r="34" spans="1:2" x14ac:dyDescent="0.3">
      <c r="A34" t="s">
        <v>184</v>
      </c>
      <c r="B34">
        <v>540</v>
      </c>
    </row>
    <row r="35" spans="1:2" x14ac:dyDescent="0.3">
      <c r="A35" t="s">
        <v>185</v>
      </c>
      <c r="B35">
        <v>540</v>
      </c>
    </row>
    <row r="36" spans="1:2" x14ac:dyDescent="0.3">
      <c r="A36" t="s">
        <v>186</v>
      </c>
      <c r="B36">
        <v>540</v>
      </c>
    </row>
    <row r="37" spans="1:2" x14ac:dyDescent="0.3">
      <c r="A37" t="s">
        <v>187</v>
      </c>
      <c r="B37">
        <v>540</v>
      </c>
    </row>
  </sheetData>
  <dataValidations count="1">
    <dataValidation type="list" sqref="B2" xr:uid="{00000000-0002-0000-0300-000000000000}">
      <formula1>"A1,A2,A3,A4,B1,B2,B3,B4,C1,C2,C3,C4"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topLeftCell="A4" workbookViewId="0">
      <selection activeCell="D15" sqref="D15:I28"/>
    </sheetView>
  </sheetViews>
  <sheetFormatPr baseColWidth="10" defaultColWidth="9.109375" defaultRowHeight="14.4" x14ac:dyDescent="0.3"/>
  <cols>
    <col min="1" max="1" width="13" customWidth="1"/>
    <col min="2" max="4" width="10" customWidth="1"/>
    <col min="5" max="11" width="13" customWidth="1"/>
    <col min="12" max="12" width="30" customWidth="1"/>
  </cols>
  <sheetData>
    <row r="1" spans="1:12" x14ac:dyDescent="0.3">
      <c r="A1" s="5" t="s">
        <v>120</v>
      </c>
      <c r="B1" s="5" t="s">
        <v>121</v>
      </c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169</v>
      </c>
      <c r="I1" s="5" t="s">
        <v>170</v>
      </c>
      <c r="J1" s="5" t="s">
        <v>171</v>
      </c>
      <c r="K1" s="5" t="s">
        <v>127</v>
      </c>
      <c r="L1" s="5" t="s">
        <v>87</v>
      </c>
    </row>
    <row r="2" spans="1:12" x14ac:dyDescent="0.3">
      <c r="A2" s="2" t="s">
        <v>128</v>
      </c>
      <c r="B2" s="8">
        <v>18</v>
      </c>
      <c r="C2" s="8">
        <v>82</v>
      </c>
      <c r="D2" s="6" t="s">
        <v>30</v>
      </c>
      <c r="E2">
        <v>3.5</v>
      </c>
      <c r="F2">
        <v>5</v>
      </c>
      <c r="G2">
        <v>0</v>
      </c>
      <c r="H2">
        <v>0</v>
      </c>
      <c r="I2">
        <v>1.72</v>
      </c>
      <c r="J2">
        <v>0</v>
      </c>
      <c r="K2" s="6" t="s">
        <v>129</v>
      </c>
      <c r="L2" s="6" t="s">
        <v>130</v>
      </c>
    </row>
    <row r="3" spans="1:12" x14ac:dyDescent="0.3">
      <c r="A3" s="2" t="s">
        <v>128</v>
      </c>
      <c r="B3" s="8">
        <v>18</v>
      </c>
      <c r="C3" s="8">
        <v>82</v>
      </c>
      <c r="D3" s="6" t="s">
        <v>31</v>
      </c>
      <c r="E3">
        <v>1.5</v>
      </c>
      <c r="F3">
        <v>3.5</v>
      </c>
      <c r="G3">
        <v>1.5</v>
      </c>
      <c r="H3">
        <v>3.36</v>
      </c>
      <c r="I3">
        <v>0</v>
      </c>
      <c r="J3">
        <v>0</v>
      </c>
      <c r="K3" s="6" t="s">
        <v>129</v>
      </c>
      <c r="L3" s="6" t="s">
        <v>132</v>
      </c>
    </row>
    <row r="4" spans="1:12" x14ac:dyDescent="0.3">
      <c r="A4" s="2" t="s">
        <v>131</v>
      </c>
      <c r="B4" s="8">
        <v>28</v>
      </c>
      <c r="C4" s="8">
        <v>68</v>
      </c>
      <c r="D4" s="6" t="s">
        <v>30</v>
      </c>
      <c r="E4">
        <v>1.5</v>
      </c>
      <c r="F4">
        <v>0</v>
      </c>
      <c r="G4">
        <v>5</v>
      </c>
      <c r="H4">
        <v>0</v>
      </c>
      <c r="I4">
        <v>3.7600000000000002</v>
      </c>
      <c r="J4">
        <v>0</v>
      </c>
      <c r="K4" s="6" t="s">
        <v>133</v>
      </c>
      <c r="L4" s="6" t="s">
        <v>134</v>
      </c>
    </row>
    <row r="5" spans="1:12" x14ac:dyDescent="0.3">
      <c r="A5" s="2" t="s">
        <v>131</v>
      </c>
      <c r="B5" s="8">
        <v>28</v>
      </c>
      <c r="C5" s="8">
        <v>68</v>
      </c>
      <c r="D5" s="6" t="s">
        <v>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s="6" t="s">
        <v>135</v>
      </c>
      <c r="L5" s="6" t="s">
        <v>136</v>
      </c>
    </row>
    <row r="6" spans="1:12" x14ac:dyDescent="0.3">
      <c r="A6" s="7" t="s">
        <v>165</v>
      </c>
      <c r="D6" t="s">
        <v>30</v>
      </c>
      <c r="E6">
        <v>5</v>
      </c>
      <c r="F6">
        <v>5</v>
      </c>
      <c r="G6">
        <v>4</v>
      </c>
      <c r="H6">
        <v>5</v>
      </c>
      <c r="I6">
        <v>10</v>
      </c>
      <c r="J6">
        <v>10</v>
      </c>
    </row>
    <row r="7" spans="1:12" x14ac:dyDescent="0.3">
      <c r="A7" s="7" t="s">
        <v>165</v>
      </c>
      <c r="D7" t="s">
        <v>31</v>
      </c>
      <c r="E7">
        <v>3.5</v>
      </c>
      <c r="F7">
        <v>1.5</v>
      </c>
      <c r="G7">
        <v>3.5</v>
      </c>
      <c r="H7">
        <v>1.6</v>
      </c>
      <c r="I7">
        <v>0</v>
      </c>
      <c r="J7">
        <v>0</v>
      </c>
    </row>
    <row r="8" spans="1:12" x14ac:dyDescent="0.3">
      <c r="A8" s="7" t="s">
        <v>166</v>
      </c>
      <c r="D8" t="s">
        <v>30</v>
      </c>
      <c r="E8">
        <v>3.4</v>
      </c>
      <c r="F8">
        <v>5</v>
      </c>
      <c r="G8">
        <v>5</v>
      </c>
      <c r="H8">
        <v>5</v>
      </c>
      <c r="I8">
        <v>0</v>
      </c>
      <c r="J8">
        <v>0</v>
      </c>
    </row>
    <row r="9" spans="1:12" x14ac:dyDescent="0.3">
      <c r="A9" s="7" t="s">
        <v>166</v>
      </c>
      <c r="D9" t="s">
        <v>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2" x14ac:dyDescent="0.3">
      <c r="A10" s="7" t="s">
        <v>167</v>
      </c>
      <c r="D10" t="s">
        <v>30</v>
      </c>
      <c r="E10">
        <v>5</v>
      </c>
      <c r="F10">
        <v>5</v>
      </c>
      <c r="G10">
        <v>6</v>
      </c>
      <c r="H10">
        <v>0</v>
      </c>
      <c r="I10">
        <v>4.0200000000000005</v>
      </c>
      <c r="J10">
        <v>0</v>
      </c>
    </row>
    <row r="11" spans="1:12" x14ac:dyDescent="0.3">
      <c r="A11" s="7" t="s">
        <v>167</v>
      </c>
      <c r="D11" t="s">
        <v>31</v>
      </c>
      <c r="E11">
        <v>5</v>
      </c>
      <c r="F11">
        <v>5</v>
      </c>
      <c r="G11">
        <v>5</v>
      </c>
      <c r="H11">
        <v>8.120000000000001</v>
      </c>
      <c r="I11">
        <v>5</v>
      </c>
      <c r="J11">
        <v>0</v>
      </c>
    </row>
  </sheetData>
  <phoneticPr fontId="7" type="noConversion"/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400-000000000000}">
          <x14:formula1>
            <xm:f>Controls!$A$2:$A$5</xm:f>
          </x14:formula1>
          <xm:sqref>F15:I32 K20:O33 J15:J35 K35:L35 K34:N34 C2:E64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4"/>
  <sheetViews>
    <sheetView workbookViewId="0">
      <selection activeCell="C3" sqref="C3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3" width="12" customWidth="1"/>
    <col min="4" max="15" width="14" customWidth="1"/>
    <col min="16" max="16" width="29.5546875" bestFit="1" customWidth="1"/>
  </cols>
  <sheetData>
    <row r="1" spans="1:16" x14ac:dyDescent="0.3">
      <c r="A1" s="5" t="s">
        <v>137</v>
      </c>
      <c r="B1" s="5" t="s">
        <v>138</v>
      </c>
      <c r="C1" s="5" t="s">
        <v>139</v>
      </c>
      <c r="D1" s="5" t="s">
        <v>140</v>
      </c>
      <c r="E1" s="5" t="s">
        <v>141</v>
      </c>
      <c r="F1" s="5" t="s">
        <v>142</v>
      </c>
      <c r="G1" s="5" t="s">
        <v>176</v>
      </c>
      <c r="H1" s="5" t="s">
        <v>174</v>
      </c>
      <c r="I1" s="5" t="s">
        <v>175</v>
      </c>
      <c r="J1" s="5" t="s">
        <v>143</v>
      </c>
      <c r="K1" s="5" t="s">
        <v>144</v>
      </c>
      <c r="L1" s="5" t="s">
        <v>145</v>
      </c>
      <c r="M1" s="5" t="s">
        <v>172</v>
      </c>
      <c r="N1" s="5" t="s">
        <v>173</v>
      </c>
      <c r="O1" s="5" t="s">
        <v>177</v>
      </c>
      <c r="P1" s="5" t="s">
        <v>87</v>
      </c>
    </row>
    <row r="2" spans="1:16" x14ac:dyDescent="0.3">
      <c r="A2" s="2" t="s">
        <v>146</v>
      </c>
      <c r="B2" s="2" t="s">
        <v>72</v>
      </c>
      <c r="C2" s="8">
        <v>10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8">
        <v>6</v>
      </c>
      <c r="K2" s="8">
        <v>2</v>
      </c>
      <c r="L2" s="8">
        <v>1</v>
      </c>
      <c r="M2" s="8">
        <v>6</v>
      </c>
      <c r="N2" s="8">
        <v>2</v>
      </c>
      <c r="O2" s="8">
        <v>1</v>
      </c>
      <c r="P2" s="6" t="s">
        <v>147</v>
      </c>
    </row>
    <row r="3" spans="1:16" x14ac:dyDescent="0.3">
      <c r="A3" s="2" t="s">
        <v>168</v>
      </c>
      <c r="B3" s="2" t="s">
        <v>72</v>
      </c>
      <c r="C3">
        <v>10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8">
        <v>6</v>
      </c>
      <c r="K3" s="8">
        <v>2</v>
      </c>
      <c r="L3" s="8">
        <v>1</v>
      </c>
      <c r="M3" s="8">
        <v>6</v>
      </c>
      <c r="N3" s="8">
        <v>2</v>
      </c>
      <c r="O3" s="8">
        <v>1</v>
      </c>
    </row>
    <row r="4" spans="1:16" x14ac:dyDescent="0.3">
      <c r="A4" s="2" t="s">
        <v>148</v>
      </c>
      <c r="B4" s="2" t="s">
        <v>72</v>
      </c>
      <c r="C4">
        <v>10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</row>
  </sheetData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"/>
  <sheetViews>
    <sheetView workbookViewId="0">
      <selection activeCell="A5" sqref="A5:XFD5"/>
    </sheetView>
  </sheetViews>
  <sheetFormatPr baseColWidth="10" defaultColWidth="9.109375" defaultRowHeight="14.4" x14ac:dyDescent="0.3"/>
  <cols>
    <col min="1" max="1" width="12" customWidth="1"/>
    <col min="2" max="2" width="16" customWidth="1"/>
    <col min="3" max="8" width="17" customWidth="1"/>
    <col min="9" max="9" width="30" customWidth="1"/>
  </cols>
  <sheetData>
    <row r="1" spans="1:9" x14ac:dyDescent="0.3">
      <c r="A1" s="5" t="s">
        <v>137</v>
      </c>
      <c r="B1" s="5" t="s">
        <v>138</v>
      </c>
      <c r="C1" s="5" t="s">
        <v>149</v>
      </c>
      <c r="D1" s="5" t="s">
        <v>150</v>
      </c>
      <c r="E1" s="5" t="s">
        <v>151</v>
      </c>
      <c r="F1" s="5" t="s">
        <v>178</v>
      </c>
      <c r="G1" s="5" t="s">
        <v>179</v>
      </c>
      <c r="H1" s="5" t="s">
        <v>180</v>
      </c>
      <c r="I1" s="5" t="s">
        <v>152</v>
      </c>
    </row>
    <row r="2" spans="1:9" ht="28.8" x14ac:dyDescent="0.3">
      <c r="A2" s="2" t="s">
        <v>146</v>
      </c>
      <c r="B2" s="2" t="s">
        <v>72</v>
      </c>
      <c r="C2" s="6" t="s">
        <v>164</v>
      </c>
      <c r="D2" s="6"/>
      <c r="E2" s="6"/>
      <c r="F2" s="6"/>
      <c r="G2" s="6"/>
      <c r="H2" s="6"/>
      <c r="I2" s="2" t="s">
        <v>153</v>
      </c>
    </row>
    <row r="3" spans="1:9" x14ac:dyDescent="0.3">
      <c r="A3" s="2" t="s">
        <v>148</v>
      </c>
      <c r="B3" s="2" t="s">
        <v>72</v>
      </c>
      <c r="C3" s="6" t="s">
        <v>164</v>
      </c>
      <c r="D3" s="6"/>
      <c r="E3" s="6"/>
      <c r="F3" s="6"/>
      <c r="G3" s="6"/>
      <c r="H3" s="6"/>
      <c r="I3" s="2"/>
    </row>
    <row r="4" spans="1:9" x14ac:dyDescent="0.3">
      <c r="A4" s="2" t="s">
        <v>168</v>
      </c>
      <c r="B4" s="2" t="s">
        <v>72</v>
      </c>
      <c r="C4" s="6" t="s">
        <v>164</v>
      </c>
      <c r="D4" s="6"/>
      <c r="E4" s="6"/>
      <c r="F4" s="6"/>
      <c r="G4" s="6"/>
      <c r="H4" s="6"/>
      <c r="I4" s="2" t="s">
        <v>154</v>
      </c>
    </row>
    <row r="5" spans="1:9" x14ac:dyDescent="0.3">
      <c r="A5" s="2"/>
    </row>
  </sheetData>
  <pageMargins left="0.7" right="0.7" top="0.75" bottom="0.75" header="0.3" footer="0.3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600-000000000000}">
          <x14:formula1>
            <xm:f>Controls!$A$2:$A$5</xm:f>
          </x14:formula1>
          <xm:sqref>C2:H99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>
      <selection activeCell="C15" sqref="C15"/>
    </sheetView>
  </sheetViews>
  <sheetFormatPr baseColWidth="10" defaultColWidth="9.109375" defaultRowHeight="14.4" x14ac:dyDescent="0.3"/>
  <cols>
    <col min="1" max="2" width="23" customWidth="1"/>
    <col min="3" max="3" width="30" customWidth="1"/>
    <col min="4" max="4" width="10" customWidth="1"/>
  </cols>
  <sheetData>
    <row r="1" spans="1:4" x14ac:dyDescent="0.3">
      <c r="A1" s="5" t="s">
        <v>155</v>
      </c>
      <c r="B1" s="5" t="s">
        <v>164</v>
      </c>
      <c r="C1" s="5" t="s">
        <v>30</v>
      </c>
      <c r="D1" s="5" t="s">
        <v>31</v>
      </c>
    </row>
    <row r="2" spans="1:4" x14ac:dyDescent="0.3">
      <c r="A2" s="3" t="s">
        <v>164</v>
      </c>
      <c r="B2" s="3">
        <v>1</v>
      </c>
      <c r="C2" s="6">
        <v>1</v>
      </c>
      <c r="D2" s="6">
        <v>1</v>
      </c>
    </row>
    <row r="3" spans="1:4" x14ac:dyDescent="0.3">
      <c r="A3" s="3" t="s">
        <v>30</v>
      </c>
      <c r="B3" s="3">
        <v>0</v>
      </c>
      <c r="C3" s="6">
        <v>1</v>
      </c>
      <c r="D3" s="6">
        <v>1</v>
      </c>
    </row>
    <row r="4" spans="1:4" x14ac:dyDescent="0.3">
      <c r="A4" s="3" t="s">
        <v>31</v>
      </c>
      <c r="B4" s="3">
        <v>0</v>
      </c>
      <c r="C4" s="6">
        <v>1</v>
      </c>
      <c r="D4" s="6">
        <v>1</v>
      </c>
    </row>
    <row r="5" spans="1:4" x14ac:dyDescent="0.3">
      <c r="A5" s="2"/>
      <c r="B5" s="2"/>
      <c r="C5" s="2"/>
      <c r="D5" s="2"/>
    </row>
    <row r="6" spans="1:4" ht="28.8" x14ac:dyDescent="0.3">
      <c r="A6" s="3" t="s">
        <v>156</v>
      </c>
      <c r="B6" s="3"/>
      <c r="C6" s="2" t="s">
        <v>157</v>
      </c>
      <c r="D6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2"/>
  <sheetViews>
    <sheetView workbookViewId="0">
      <selection activeCell="A9" sqref="A9:XFD9"/>
    </sheetView>
  </sheetViews>
  <sheetFormatPr baseColWidth="10" defaultColWidth="9.109375" defaultRowHeight="14.4" x14ac:dyDescent="0.3"/>
  <cols>
    <col min="1" max="3" width="16" customWidth="1"/>
    <col min="4" max="4" width="11" customWidth="1"/>
    <col min="5" max="5" width="16" customWidth="1"/>
  </cols>
  <sheetData>
    <row r="1" spans="1:5" x14ac:dyDescent="0.3">
      <c r="A1" s="5" t="s">
        <v>158</v>
      </c>
      <c r="B1" s="5" t="s">
        <v>121</v>
      </c>
      <c r="C1" s="5" t="s">
        <v>122</v>
      </c>
      <c r="D1" s="5" t="s">
        <v>159</v>
      </c>
      <c r="E1" s="5" t="s">
        <v>123</v>
      </c>
    </row>
    <row r="2" spans="1:5" x14ac:dyDescent="0.3">
      <c r="A2" s="7" t="s">
        <v>160</v>
      </c>
      <c r="B2" s="7">
        <f>Params!B15</f>
        <v>50</v>
      </c>
      <c r="C2" s="7">
        <f>Params!B16</f>
        <v>50</v>
      </c>
      <c r="D2" s="9" t="s">
        <v>161</v>
      </c>
      <c r="E2" s="7" t="s">
        <v>1</v>
      </c>
    </row>
    <row r="3" spans="1:5" x14ac:dyDescent="0.3">
      <c r="A3" s="7" t="str">
        <f>Suppliers!A2</f>
        <v>S01</v>
      </c>
      <c r="B3" s="7">
        <f>Suppliers!B2</f>
        <v>18</v>
      </c>
      <c r="C3" s="7">
        <f>Suppliers!C2</f>
        <v>82</v>
      </c>
      <c r="D3" s="9" t="s">
        <v>162</v>
      </c>
      <c r="E3" s="7" t="str">
        <f>Suppliers!D2</f>
        <v>EV</v>
      </c>
    </row>
    <row r="4" spans="1:5" x14ac:dyDescent="0.3">
      <c r="A4" s="7" t="str">
        <f>Suppliers!A3</f>
        <v>S01</v>
      </c>
      <c r="B4" s="7">
        <f>Suppliers!B3</f>
        <v>18</v>
      </c>
      <c r="C4" s="7">
        <f>Suppliers!C3</f>
        <v>82</v>
      </c>
      <c r="D4" s="9" t="s">
        <v>162</v>
      </c>
      <c r="E4" s="7" t="str">
        <f>Suppliers!D3</f>
        <v>V</v>
      </c>
    </row>
    <row r="5" spans="1:5" x14ac:dyDescent="0.3">
      <c r="A5" s="7" t="str">
        <f>Suppliers!A4</f>
        <v>S02</v>
      </c>
      <c r="B5" s="7">
        <f>Suppliers!B4</f>
        <v>28</v>
      </c>
      <c r="C5" s="7">
        <f>Suppliers!C4</f>
        <v>68</v>
      </c>
      <c r="D5" s="9" t="s">
        <v>162</v>
      </c>
      <c r="E5" s="7" t="str">
        <f>Suppliers!D4</f>
        <v>EV</v>
      </c>
    </row>
    <row r="6" spans="1:5" x14ac:dyDescent="0.3">
      <c r="A6" s="7" t="str">
        <f>Suppliers!A5</f>
        <v>S02</v>
      </c>
      <c r="B6" s="7">
        <f>Suppliers!B5</f>
        <v>28</v>
      </c>
      <c r="C6" s="7">
        <f>Suppliers!C5</f>
        <v>68</v>
      </c>
      <c r="D6" s="9" t="s">
        <v>162</v>
      </c>
      <c r="E6" s="7" t="str">
        <f>Suppliers!D5</f>
        <v>V</v>
      </c>
    </row>
    <row r="7" spans="1:5" x14ac:dyDescent="0.3">
      <c r="A7" s="7" t="s">
        <v>165</v>
      </c>
      <c r="E7" t="s">
        <v>30</v>
      </c>
    </row>
    <row r="8" spans="1:5" x14ac:dyDescent="0.3">
      <c r="A8" s="7" t="s">
        <v>165</v>
      </c>
      <c r="E8" t="s">
        <v>31</v>
      </c>
    </row>
    <row r="9" spans="1:5" x14ac:dyDescent="0.3">
      <c r="A9" s="7" t="s">
        <v>166</v>
      </c>
      <c r="E9" t="s">
        <v>30</v>
      </c>
    </row>
    <row r="10" spans="1:5" x14ac:dyDescent="0.3">
      <c r="A10" s="7" t="s">
        <v>166</v>
      </c>
      <c r="E10" t="s">
        <v>31</v>
      </c>
    </row>
    <row r="11" spans="1:5" x14ac:dyDescent="0.3">
      <c r="A11" s="7" t="s">
        <v>167</v>
      </c>
      <c r="E11" t="s">
        <v>30</v>
      </c>
    </row>
    <row r="12" spans="1:5" x14ac:dyDescent="0.3">
      <c r="A12" s="7" t="s">
        <v>167</v>
      </c>
      <c r="E12" t="s">
        <v>31</v>
      </c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"/>
  <sheetViews>
    <sheetView workbookViewId="0">
      <selection activeCell="B15" sqref="B15:G20"/>
    </sheetView>
  </sheetViews>
  <sheetFormatPr baseColWidth="10" defaultColWidth="9.109375" defaultRowHeight="14.4" x14ac:dyDescent="0.3"/>
  <cols>
    <col min="1" max="1" width="12" customWidth="1"/>
    <col min="2" max="4" width="30" customWidth="1"/>
    <col min="5" max="7" width="9.5546875" bestFit="1" customWidth="1"/>
  </cols>
  <sheetData>
    <row r="1" spans="1:7" x14ac:dyDescent="0.3">
      <c r="A1" s="5" t="s">
        <v>163</v>
      </c>
      <c r="B1" s="5" t="str">
        <f>Nodes!A2</f>
        <v>D0</v>
      </c>
      <c r="C1" s="5" t="str">
        <f>Nodes!A3</f>
        <v>S01</v>
      </c>
      <c r="D1" s="5" t="str">
        <f>Nodes!A5</f>
        <v>S02</v>
      </c>
      <c r="E1" t="s">
        <v>165</v>
      </c>
      <c r="F1" t="s">
        <v>166</v>
      </c>
      <c r="G1" t="s">
        <v>167</v>
      </c>
    </row>
    <row r="2" spans="1:7" x14ac:dyDescent="0.3">
      <c r="A2" s="3" t="str">
        <f>Nodes!A2</f>
        <v>D0</v>
      </c>
      <c r="B2">
        <v>0</v>
      </c>
      <c r="C2">
        <v>35</v>
      </c>
      <c r="D2">
        <v>65</v>
      </c>
      <c r="E2">
        <v>40</v>
      </c>
      <c r="F2">
        <v>76</v>
      </c>
      <c r="G2">
        <v>50</v>
      </c>
    </row>
    <row r="3" spans="1:7" x14ac:dyDescent="0.3">
      <c r="A3" s="3" t="str">
        <f>Nodes!A3</f>
        <v>S01</v>
      </c>
      <c r="B3">
        <v>35</v>
      </c>
      <c r="C3">
        <v>0</v>
      </c>
      <c r="D3">
        <v>35</v>
      </c>
      <c r="E3">
        <v>60</v>
      </c>
      <c r="F3">
        <v>52</v>
      </c>
      <c r="G3">
        <v>57</v>
      </c>
    </row>
    <row r="4" spans="1:7" x14ac:dyDescent="0.3">
      <c r="A4" s="3" t="str">
        <f>Nodes!A5</f>
        <v>S02</v>
      </c>
      <c r="B4">
        <v>65</v>
      </c>
      <c r="C4">
        <v>35</v>
      </c>
      <c r="D4">
        <v>0</v>
      </c>
      <c r="E4">
        <v>90</v>
      </c>
      <c r="F4">
        <v>25</v>
      </c>
      <c r="G4">
        <v>71</v>
      </c>
    </row>
    <row r="5" spans="1:7" x14ac:dyDescent="0.3">
      <c r="A5" s="3" t="s">
        <v>165</v>
      </c>
      <c r="B5">
        <v>40</v>
      </c>
      <c r="C5">
        <v>60</v>
      </c>
      <c r="D5">
        <v>90</v>
      </c>
      <c r="E5">
        <v>0</v>
      </c>
      <c r="F5">
        <v>70</v>
      </c>
      <c r="G5">
        <v>30</v>
      </c>
    </row>
    <row r="6" spans="1:7" x14ac:dyDescent="0.3">
      <c r="A6" s="3" t="s">
        <v>166</v>
      </c>
      <c r="B6">
        <v>76</v>
      </c>
      <c r="C6">
        <v>52</v>
      </c>
      <c r="D6">
        <v>25</v>
      </c>
      <c r="E6">
        <v>70</v>
      </c>
      <c r="F6">
        <v>0</v>
      </c>
      <c r="G6">
        <v>80</v>
      </c>
    </row>
    <row r="7" spans="1:7" x14ac:dyDescent="0.3">
      <c r="A7" t="s">
        <v>167</v>
      </c>
      <c r="B7">
        <v>50</v>
      </c>
      <c r="C7">
        <v>57</v>
      </c>
      <c r="D7">
        <v>71</v>
      </c>
      <c r="E7">
        <v>30</v>
      </c>
      <c r="F7">
        <v>80</v>
      </c>
      <c r="G7">
        <v>0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README</vt:lpstr>
      <vt:lpstr>Controls</vt:lpstr>
      <vt:lpstr>Instance_Catalog</vt:lpstr>
      <vt:lpstr>Params</vt:lpstr>
      <vt:lpstr>Suppliers</vt:lpstr>
      <vt:lpstr>Fleet</vt:lpstr>
      <vt:lpstr>Initial_States</vt:lpstr>
      <vt:lpstr>Incompatibility</vt:lpstr>
      <vt:lpstr>Nodes</vt:lpstr>
      <vt:lpstr>Distances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Imed Ghodbeni</dc:creator>
  <cp:lastModifiedBy>Imed Ghodhbeni</cp:lastModifiedBy>
  <dcterms:created xsi:type="dcterms:W3CDTF">2026-04-18T16:24:21Z</dcterms:created>
  <dcterms:modified xsi:type="dcterms:W3CDTF">2026-07-19T10:23:56Z</dcterms:modified>
</cp:coreProperties>
</file>