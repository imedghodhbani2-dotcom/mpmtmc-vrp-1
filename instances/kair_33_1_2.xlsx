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9" documentId="13_ncr:1_{D48CD4E2-7677-447F-B9B4-62CFDECDF3A9}" xr6:coauthVersionLast="47" xr6:coauthVersionMax="47" xr10:uidLastSave="{D4B52B29-4AD9-442E-91B6-428D2C863823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9" l="1"/>
  <c r="E5" i="9"/>
  <c r="A2" i="10"/>
  <c r="B1" i="10"/>
  <c r="C6" i="9"/>
  <c r="B6" i="9"/>
  <c r="A6" i="9"/>
  <c r="C5" i="9"/>
  <c r="B5" i="9"/>
  <c r="A5" i="9"/>
  <c r="D1" i="10" s="1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4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<sst xmlns="http://schemas.openxmlformats.org/spreadsheetml/2006/main" count="365" uniqueCount="188">
  <si>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</si>
  <si>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</si>
  <si>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</si>
  <si>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</si>
  <si>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</si>
  <si>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</si>
  <si>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</si>
  <si>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</si>
  <si>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</si>
  <si>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</si>
  <si>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</si>
  <si>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</si>
  <si>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</si>
  <si>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</si>
  <si>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</si>
  <si>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</si>
  <si>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</si>
  <si>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</si>
  <si>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</si>
  <si>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</si>
  <si>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</si>
  <si>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</si>
  <si>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</si>
  <si>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</si>
  <si>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</si>
  <si>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</si>
  <si>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</si>
  <si>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</si>
  <si>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</si>
  <si>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</si>
  <si>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</si>
  <si>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</si>
  <si>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</si>
  <si>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</si>
  <si>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</si>
  <si>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</si>
  <si>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</si>
  <si>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</si>
  <si>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</si>
  <si>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</si>
  <si>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</si>
  <si>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</si>
  <si>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</si>
  <si>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</si>
  <si>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</si>
  <si>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</si>
  <si>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</si>
  <si>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</si>
  <si>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</si>
  <si>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</si>
  <si>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</si>
  <si>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</si>
  <si>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</si>
  <si>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</si>
  <si>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</si>
  <si>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</si>
  <si>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</si>
  <si>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</si>
  <si>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</si>
  <si>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</si>
  <si>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</si>
  <si>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</si>
  <si>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</si>
  <si>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</si>
  <si>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</si>
  <si>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</si>
  <si>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</si>
  <si>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</si>
  <si>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</si>
  <si>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</si>
  <si>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</si>
  <si>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</si>
  <si>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</si>
  <si>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</si>
  <si>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</si>
  <si>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</si>
  <si>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</si>
  <si>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</si>
  <si>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</si>
  <si>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</si>
  <si>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</si>
  <si>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</si>
  <si>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</si>
  <si>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</si>
  <si>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</si>
  <si>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</si>
  <si>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</si>
  <si>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</si>
  <si>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</si>
  <si>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</si>
  <si>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</si>
  <si>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</si>
  <si>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</si>
  <si>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</si>
  <si>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</si>
  <si>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</si>
  <si>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</si>
  <si>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</si>
  <si>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</si>
  <si>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</si>
  <si>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</si>
  <si>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</si>
  <si>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</si>
  <si>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</si>
  <si>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</si>
  <si>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</si>
  <si>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</si>
  <si>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</si>
  <si>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</si>
  <si>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</si>
  <si>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</si>
  <si>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</si>
  <si>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</si>
  <si>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</si>
  <si>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</si>
  <si>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</si>
  <si>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</si>
  <si>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</si>
  <si>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</si>
  <si>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</si>
  <si>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</si>
  <si>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</si>
  <si>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</si>
  <si>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</si>
  <si>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</si>
  <si>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</si>
  <si>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</si>
  <si>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</si>
  <si>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</si>
  <si>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NorthWest</t>
  </si>
  <si>
    <t>High-quality grove</t>
  </si>
  <si>
    <t>S02</t>
  </si>
  <si>
    <t>Near S07</t>
  </si>
  <si>
    <t>West</t>
  </si>
  <si>
    <t>Small premium producer</t>
  </si>
  <si>
    <t>CenterWest</t>
  </si>
  <si>
    <t>Accessible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</si>
  <si>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</si>
  <si>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</si>
  <si>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</si>
  <si>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</si>
  <si>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</si>
  <si>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</si>
  <si>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</si>
  <si>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</si>
  <si>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</si>
  <si>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</si>
  <si>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</si>
  <si>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</si>
  <si>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</si>
  <si>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</si>
  <si>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</si>
  <si>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</si>
  <si>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</si>
  <si>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</si>
  <si>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</si>
  <si>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</si>
  <si>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</si>
  <si>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</si>
  <si>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</si>
  <si>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</si>
  <si>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</si>
  <si>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</si>
  <si>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</si>
  <si>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</si>
  <si>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</si>
  <si>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</si>
  <si>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</si>
  <si>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</si>
  <si>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</si>
  <si>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</si>
  <si>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</si>
  <si>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</si>
  <si>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</si>
  <si>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</si>
  <si>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</si>
  <si>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</si>
  <si>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</si>
  <si>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</si>
  <si>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</si>
  <si>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</si>
  <si>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LoadingTimePerTon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</si>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</sst>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17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9F72FAD-FD99-78B1-0DEA-DC3D06C488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9F819C03-9BB8-8A1E-DDB0-CD4F9A1562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09BFEEB-BCBF-86F7-8E77-63BE7B7081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40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FD8A122C-4839-00F8-E7FA-F4B35863CC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43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68AE75B2-6CB3-04C0-74D9-60584131F4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46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A32151A-AFC4-434C-BC1C-39904BE401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5B5B8C9D-824C-4ABC-9FB6-F59036B293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97B1A721-24A5-4C31-945F-116A655471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B0FCBD9-7FC0-4965-ECC9-E7EBB73A5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F1D04682-9C52-4AEA-874A-6DBF1F8745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E8AFFBA-EBA0-586B-7B93-E0929C8325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D7E52C7A-1674-EB86-E9D0-ACD3FFD528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CD5A1492-B369-D7FE-F50D-6B5695954A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A943DB30-47AA-48DA-ACBF-D66681478A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E64AD7D4-86EB-40E9-A818-88A481E2E4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F501B402-D498-4D7C-BDA0-292D3FB4C7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DE0DFA3-1D92-4A5F-4A2C-95E8F2FA95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A40D4C5-45C6-68B2-1CB8-19F601549B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B9DB76EB-06F6-8FFE-10E3-3A83CC6BDE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FC81E09A-2725-83C8-9319-2D3E89E641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77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50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FDC7CD74-98BE-A102-5EDB-0560B408F8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77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AD5FD587-C284-48A2-B23B-F52E767A91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D925F0A3-F1CC-4C74-997D-7562EA2DAC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B8043F39-1657-4492-92D2-81C8ACE918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16" workbookViewId="0">
      <selection activeCell="B32" sqref="B32:B37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f>INDEX(Instance_Catalog!$C$2:$C$13,MATCH(B2,Instance_Catalog!$A$2:$A$13,0))</f>
        <v>16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1" t="s">
        <v>181</v>
      </c>
      <c r="B6" s="12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SUM(Suppliers!E2:E5)</f>
        <v>6.5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SUM(Suppliers!F2:F5)</f>
        <v>8.5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SUM(Suppliers!G2:G5)</f>
        <v>6.5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COUNTIFS(Fleet!D2:D2,1)+COUNTIFS(Fleet!E2:E2,1)+COUNTIFS(Fleet!F2:F2,1)</f>
        <v>3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SUMPRODUCT(Fleet!$C$2:$C$2,Fleet!$D$2:$D$2)*$B$17</f>
        <v>30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SUMPRODUCT(Fleet!$C$2:$C$2,Fleet!$E$2:$E$2)*$B$17</f>
        <v>30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SUMPRODUCT(Fleet!$C$2:$C$2,Fleet!$F$2:$F$2)*$B$17</f>
        <v>30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0.21666666666666667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0.28333333333333333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0.21666666666666667</v>
      </c>
      <c r="C31" s="2" t="s">
        <v>91</v>
      </c>
      <c r="D31" s="2" t="s">
        <v>117</v>
      </c>
    </row>
    <row r="32" spans="1:4" x14ac:dyDescent="0.3">
      <c r="A32" t="s">
        <v>182</v>
      </c>
      <c r="B32">
        <v>5400</v>
      </c>
    </row>
    <row r="33" spans="1:2" x14ac:dyDescent="0.3">
      <c r="A33" t="s">
        <v>183</v>
      </c>
      <c r="B33">
        <v>5400</v>
      </c>
    </row>
    <row r="34" spans="1:2" x14ac:dyDescent="0.3">
      <c r="A34" t="s">
        <v>184</v>
      </c>
      <c r="B34">
        <v>5400</v>
      </c>
    </row>
    <row r="35" spans="1:2" x14ac:dyDescent="0.3">
      <c r="A35" t="s">
        <v>185</v>
      </c>
      <c r="B35">
        <v>5400</v>
      </c>
    </row>
    <row r="36" spans="1:2" x14ac:dyDescent="0.3">
      <c r="A36" t="s">
        <v>186</v>
      </c>
      <c r="B36">
        <v>5400</v>
      </c>
    </row>
    <row r="37" spans="1:2" x14ac:dyDescent="0.3">
      <c r="A37" t="s">
        <v>187</v>
      </c>
      <c r="B37">
        <v>5400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A12" sqref="A12:XFD12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11" width="13" customWidth="1"/>
    <col min="12" max="12" width="30" customWidth="1"/>
  </cols>
  <sheetData>
    <row r="1" spans="1:12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169</v>
      </c>
      <c r="I1" s="5" t="s">
        <v>170</v>
      </c>
      <c r="J1" s="5" t="s">
        <v>171</v>
      </c>
      <c r="K1" s="5" t="s">
        <v>127</v>
      </c>
      <c r="L1" s="5" t="s">
        <v>87</v>
      </c>
    </row>
    <row r="2" spans="1:12" x14ac:dyDescent="0.3">
      <c r="A2" s="2" t="s">
        <v>128</v>
      </c>
      <c r="B2" s="8">
        <v>18</v>
      </c>
      <c r="C2" s="8">
        <v>82</v>
      </c>
      <c r="D2" s="6" t="s">
        <v>30</v>
      </c>
      <c r="E2">
        <v>3.5</v>
      </c>
      <c r="F2">
        <v>5</v>
      </c>
      <c r="G2">
        <v>0</v>
      </c>
      <c r="H2">
        <v>0</v>
      </c>
      <c r="I2">
        <v>1.72</v>
      </c>
      <c r="J2">
        <v>0</v>
      </c>
      <c r="K2" s="6" t="s">
        <v>129</v>
      </c>
      <c r="L2" s="6" t="s">
        <v>130</v>
      </c>
    </row>
    <row r="3" spans="1:12" x14ac:dyDescent="0.3">
      <c r="A3" s="2" t="s">
        <v>128</v>
      </c>
      <c r="B3" s="8">
        <v>18</v>
      </c>
      <c r="C3" s="8">
        <v>82</v>
      </c>
      <c r="D3" s="6" t="s">
        <v>31</v>
      </c>
      <c r="E3">
        <v>1.5</v>
      </c>
      <c r="F3">
        <v>3.5</v>
      </c>
      <c r="G3">
        <v>1.5</v>
      </c>
      <c r="H3">
        <v>3.36</v>
      </c>
      <c r="I3">
        <v>0</v>
      </c>
      <c r="J3">
        <v>0</v>
      </c>
      <c r="K3" s="6" t="s">
        <v>129</v>
      </c>
      <c r="L3" s="6" t="s">
        <v>132</v>
      </c>
    </row>
    <row r="4" spans="1:12" x14ac:dyDescent="0.3">
      <c r="A4" s="2" t="s">
        <v>131</v>
      </c>
      <c r="B4" s="8">
        <v>28</v>
      </c>
      <c r="C4" s="8">
        <v>68</v>
      </c>
      <c r="D4" s="6" t="s">
        <v>30</v>
      </c>
      <c r="E4">
        <v>1.5</v>
      </c>
      <c r="F4">
        <v>0</v>
      </c>
      <c r="G4">
        <v>5</v>
      </c>
      <c r="H4">
        <v>0</v>
      </c>
      <c r="I4">
        <v>3.7600000000000002</v>
      </c>
      <c r="J4">
        <v>0</v>
      </c>
      <c r="K4" s="6" t="s">
        <v>133</v>
      </c>
      <c r="L4" s="6" t="s">
        <v>134</v>
      </c>
    </row>
    <row r="5" spans="1:12" x14ac:dyDescent="0.3">
      <c r="A5" s="2" t="s">
        <v>131</v>
      </c>
      <c r="B5" s="8">
        <v>28</v>
      </c>
      <c r="C5" s="8">
        <v>68</v>
      </c>
      <c r="D5" s="6" t="s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6" t="s">
        <v>135</v>
      </c>
      <c r="L5" s="6" t="s">
        <v>136</v>
      </c>
    </row>
    <row r="6" spans="1:12" x14ac:dyDescent="0.3">
      <c r="A6" s="7" t="s">
        <v>165</v>
      </c>
      <c r="D6" t="s">
        <v>30</v>
      </c>
      <c r="E6">
        <v>5</v>
      </c>
      <c r="F6">
        <v>5</v>
      </c>
      <c r="G6">
        <v>4</v>
      </c>
      <c r="H6">
        <v>5</v>
      </c>
      <c r="I6">
        <v>10</v>
      </c>
      <c r="J6">
        <v>10</v>
      </c>
    </row>
    <row r="7" spans="1:12" x14ac:dyDescent="0.3">
      <c r="A7" s="7" t="s">
        <v>165</v>
      </c>
      <c r="D7" t="s">
        <v>31</v>
      </c>
      <c r="E7">
        <v>3.5</v>
      </c>
      <c r="F7">
        <v>1.5</v>
      </c>
      <c r="G7">
        <v>3.5</v>
      </c>
      <c r="H7">
        <v>1.6</v>
      </c>
      <c r="I7">
        <v>0</v>
      </c>
      <c r="J7">
        <v>0</v>
      </c>
    </row>
    <row r="8" spans="1:12" x14ac:dyDescent="0.3">
      <c r="A8" s="7" t="s">
        <v>166</v>
      </c>
      <c r="D8" t="s">
        <v>30</v>
      </c>
      <c r="E8">
        <v>3.4</v>
      </c>
      <c r="F8">
        <v>5</v>
      </c>
      <c r="G8">
        <v>5</v>
      </c>
      <c r="H8">
        <v>5</v>
      </c>
      <c r="I8">
        <v>0</v>
      </c>
      <c r="J8">
        <v>0</v>
      </c>
    </row>
    <row r="9" spans="1:12" x14ac:dyDescent="0.3">
      <c r="A9" s="7" t="s">
        <v>166</v>
      </c>
      <c r="D9" t="s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2" x14ac:dyDescent="0.3">
      <c r="A10" s="7" t="s">
        <v>167</v>
      </c>
      <c r="D10" t="s">
        <v>30</v>
      </c>
      <c r="E10">
        <v>5</v>
      </c>
      <c r="F10">
        <v>5</v>
      </c>
      <c r="G10">
        <v>6</v>
      </c>
      <c r="H10">
        <v>0</v>
      </c>
      <c r="I10">
        <v>4.0200000000000005</v>
      </c>
      <c r="J10">
        <v>0</v>
      </c>
    </row>
    <row r="11" spans="1:12" x14ac:dyDescent="0.3">
      <c r="A11" s="7" t="s">
        <v>167</v>
      </c>
      <c r="D11" t="s">
        <v>31</v>
      </c>
      <c r="E11">
        <v>5</v>
      </c>
      <c r="F11">
        <v>5</v>
      </c>
      <c r="G11">
        <v>5</v>
      </c>
      <c r="H11">
        <v>8.120000000000001</v>
      </c>
      <c r="I11">
        <v>5</v>
      </c>
      <c r="J11">
        <v>0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F15:I32 K20:O33 J15:J35 K35:L35 K34:N34 C2:E64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"/>
  <sheetViews>
    <sheetView workbookViewId="0">
      <selection activeCell="A6" sqref="A6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176</v>
      </c>
      <c r="H1" s="5" t="s">
        <v>174</v>
      </c>
      <c r="I1" s="5" t="s">
        <v>175</v>
      </c>
      <c r="J1" s="5" t="s">
        <v>143</v>
      </c>
      <c r="K1" s="5" t="s">
        <v>144</v>
      </c>
      <c r="L1" s="5" t="s">
        <v>145</v>
      </c>
      <c r="M1" s="5" t="s">
        <v>172</v>
      </c>
      <c r="N1" s="5" t="s">
        <v>173</v>
      </c>
      <c r="O1" s="5" t="s">
        <v>177</v>
      </c>
      <c r="P1" s="5" t="s">
        <v>87</v>
      </c>
    </row>
    <row r="2" spans="1:16" x14ac:dyDescent="0.3">
      <c r="A2" s="2" t="s">
        <v>168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147</v>
      </c>
    </row>
    <row r="3" spans="1:16" x14ac:dyDescent="0.3">
      <c r="A3" s="2" t="s">
        <v>148</v>
      </c>
      <c r="B3" s="2" t="s">
        <v>72</v>
      </c>
      <c r="C3">
        <v>5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</row>
    <row r="4" spans="1:16" x14ac:dyDescent="0.3">
      <c r="A4" s="2" t="s">
        <v>148</v>
      </c>
      <c r="B4" s="2" t="s">
        <v>76</v>
      </c>
      <c r="C4">
        <v>5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</row>
    <row r="5" spans="1:16" x14ac:dyDescent="0.3">
      <c r="A5" s="2" t="s">
        <v>146</v>
      </c>
      <c r="B5" s="2" t="s">
        <v>72</v>
      </c>
      <c r="C5">
        <v>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  <row r="6" spans="1:16" x14ac:dyDescent="0.3">
      <c r="A6" s="2" t="s">
        <v>146</v>
      </c>
      <c r="B6" s="2" t="s">
        <v>76</v>
      </c>
      <c r="C6">
        <v>5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workbookViewId="0">
      <selection activeCell="A6" sqref="A6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137</v>
      </c>
      <c r="B1" s="5" t="s">
        <v>138</v>
      </c>
      <c r="C1" s="5" t="s">
        <v>149</v>
      </c>
      <c r="D1" s="5" t="s">
        <v>150</v>
      </c>
      <c r="E1" s="5" t="s">
        <v>151</v>
      </c>
      <c r="F1" s="5" t="s">
        <v>178</v>
      </c>
      <c r="G1" s="5" t="s">
        <v>179</v>
      </c>
      <c r="H1" s="5" t="s">
        <v>180</v>
      </c>
      <c r="I1" s="5" t="s">
        <v>152</v>
      </c>
    </row>
    <row r="2" spans="1:9" ht="28.8" x14ac:dyDescent="0.3">
      <c r="A2" s="2" t="s">
        <v>168</v>
      </c>
      <c r="B2" s="2" t="s">
        <v>72</v>
      </c>
      <c r="C2" s="6" t="s">
        <v>164</v>
      </c>
      <c r="D2" s="6"/>
      <c r="E2" s="6"/>
      <c r="F2" s="6"/>
      <c r="G2" s="6"/>
      <c r="H2" s="6"/>
      <c r="I2" s="2" t="s">
        <v>153</v>
      </c>
    </row>
    <row r="3" spans="1:9" x14ac:dyDescent="0.3">
      <c r="A3" s="2" t="s">
        <v>148</v>
      </c>
      <c r="B3" s="2" t="s">
        <v>72</v>
      </c>
      <c r="C3" s="6" t="s">
        <v>164</v>
      </c>
      <c r="D3" s="6"/>
      <c r="E3" s="6"/>
      <c r="F3" s="6"/>
      <c r="G3" s="6"/>
      <c r="H3" s="6"/>
      <c r="I3" s="2"/>
    </row>
    <row r="4" spans="1:9" x14ac:dyDescent="0.3">
      <c r="A4" s="2" t="s">
        <v>148</v>
      </c>
      <c r="B4" s="2" t="s">
        <v>76</v>
      </c>
      <c r="C4" s="6" t="s">
        <v>164</v>
      </c>
      <c r="D4" s="6"/>
      <c r="E4" s="6"/>
      <c r="F4" s="6"/>
      <c r="G4" s="6"/>
      <c r="H4" s="6"/>
      <c r="I4" s="2" t="s">
        <v>154</v>
      </c>
    </row>
    <row r="5" spans="1:9" x14ac:dyDescent="0.3">
      <c r="A5" s="2" t="s">
        <v>146</v>
      </c>
      <c r="B5" s="2" t="s">
        <v>72</v>
      </c>
      <c r="C5" s="6" t="s">
        <v>164</v>
      </c>
    </row>
    <row r="6" spans="1:9" x14ac:dyDescent="0.3">
      <c r="A6" s="2" t="s">
        <v>146</v>
      </c>
      <c r="B6" s="2" t="s">
        <v>76</v>
      </c>
      <c r="C6" s="6" t="s">
        <v>164</v>
      </c>
    </row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C2:H99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E1" sqref="E1:E1048576"/>
    </sheetView>
  </sheetViews>
  <sheetFormatPr baseColWidth="10" defaultColWidth="9.109375" defaultRowHeight="14.4" x14ac:dyDescent="0.3"/>
  <cols>
    <col min="1" max="2" width="23" customWidth="1"/>
    <col min="3" max="3" width="30" customWidth="1"/>
    <col min="4" max="4" width="10" customWidth="1"/>
  </cols>
  <sheetData>
    <row r="1" spans="1:4" x14ac:dyDescent="0.3">
      <c r="A1" s="5" t="s">
        <v>155</v>
      </c>
      <c r="B1" s="5" t="s">
        <v>164</v>
      </c>
      <c r="C1" s="5" t="s">
        <v>30</v>
      </c>
      <c r="D1" s="5" t="s">
        <v>31</v>
      </c>
    </row>
    <row r="2" spans="1:4" x14ac:dyDescent="0.3">
      <c r="A2" s="3" t="s">
        <v>164</v>
      </c>
      <c r="B2" s="3">
        <v>1</v>
      </c>
      <c r="C2" s="6">
        <v>1</v>
      </c>
      <c r="D2" s="6">
        <v>1</v>
      </c>
    </row>
    <row r="3" spans="1:4" x14ac:dyDescent="0.3">
      <c r="A3" s="3" t="s">
        <v>30</v>
      </c>
      <c r="B3" s="3">
        <v>0</v>
      </c>
      <c r="C3" s="6">
        <v>1</v>
      </c>
      <c r="D3" s="6">
        <v>1</v>
      </c>
    </row>
    <row r="4" spans="1:4" x14ac:dyDescent="0.3">
      <c r="A4" s="3" t="s">
        <v>31</v>
      </c>
      <c r="B4" s="3">
        <v>0</v>
      </c>
      <c r="C4" s="6">
        <v>1</v>
      </c>
      <c r="D4" s="6">
        <v>1</v>
      </c>
    </row>
    <row r="5" spans="1:4" x14ac:dyDescent="0.3">
      <c r="A5" s="2"/>
      <c r="B5" s="2"/>
      <c r="C5" s="2"/>
      <c r="D5" s="2"/>
    </row>
    <row r="6" spans="1:4" ht="28.8" x14ac:dyDescent="0.3">
      <c r="A6" s="3" t="s">
        <v>156</v>
      </c>
      <c r="B6" s="3"/>
      <c r="C6" s="2" t="s">
        <v>157</v>
      </c>
      <c r="D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selection activeCell="B17" sqref="B17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158</v>
      </c>
      <c r="B1" s="5" t="s">
        <v>121</v>
      </c>
      <c r="C1" s="5" t="s">
        <v>122</v>
      </c>
      <c r="D1" s="5" t="s">
        <v>159</v>
      </c>
      <c r="E1" s="5" t="s">
        <v>123</v>
      </c>
    </row>
    <row r="2" spans="1:5" x14ac:dyDescent="0.3">
      <c r="A2" s="7" t="s">
        <v>160</v>
      </c>
      <c r="B2" s="7">
        <f>Params!B15</f>
        <v>50</v>
      </c>
      <c r="C2" s="7">
        <f>Params!B16</f>
        <v>50</v>
      </c>
      <c r="D2" s="9" t="s">
        <v>161</v>
      </c>
      <c r="E2" s="7" t="s">
        <v>1</v>
      </c>
    </row>
    <row r="3" spans="1:5" x14ac:dyDescent="0.3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162</v>
      </c>
      <c r="E3" s="7" t="str">
        <f>Suppliers!D2</f>
        <v>EV</v>
      </c>
    </row>
    <row r="4" spans="1:5" x14ac:dyDescent="0.3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162</v>
      </c>
      <c r="E4" s="7" t="str">
        <f>Suppliers!D3</f>
        <v>V</v>
      </c>
    </row>
    <row r="5" spans="1:5" x14ac:dyDescent="0.3">
      <c r="A5" s="7" t="str">
        <f>Suppliers!A4</f>
        <v>S02</v>
      </c>
      <c r="B5" s="7">
        <f>Suppliers!B4</f>
        <v>28</v>
      </c>
      <c r="C5" s="7">
        <f>Suppliers!C4</f>
        <v>68</v>
      </c>
      <c r="D5" s="9" t="s">
        <v>162</v>
      </c>
      <c r="E5" s="7" t="str">
        <f>Suppliers!D4</f>
        <v>EV</v>
      </c>
    </row>
    <row r="6" spans="1:5" x14ac:dyDescent="0.3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162</v>
      </c>
      <c r="E6" s="7" t="str">
        <f>Suppliers!D5</f>
        <v>V</v>
      </c>
    </row>
    <row r="7" spans="1:5" x14ac:dyDescent="0.3">
      <c r="A7" s="7" t="s">
        <v>165</v>
      </c>
      <c r="E7" t="s">
        <v>30</v>
      </c>
    </row>
    <row r="8" spans="1:5" x14ac:dyDescent="0.3">
      <c r="A8" s="7" t="s">
        <v>165</v>
      </c>
      <c r="E8" t="s">
        <v>31</v>
      </c>
    </row>
    <row r="9" spans="1:5" x14ac:dyDescent="0.3">
      <c r="A9" s="7" t="s">
        <v>166</v>
      </c>
      <c r="E9" t="s">
        <v>30</v>
      </c>
    </row>
    <row r="10" spans="1:5" x14ac:dyDescent="0.3">
      <c r="A10" s="7" t="s">
        <v>166</v>
      </c>
      <c r="E10" t="s">
        <v>31</v>
      </c>
    </row>
    <row r="11" spans="1:5" x14ac:dyDescent="0.3">
      <c r="A11" s="7" t="s">
        <v>167</v>
      </c>
      <c r="E11" t="s">
        <v>30</v>
      </c>
    </row>
    <row r="12" spans="1:5" x14ac:dyDescent="0.3">
      <c r="A12" s="7" t="s">
        <v>167</v>
      </c>
      <c r="E12" t="s">
        <v>31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>
      <selection activeCell="B15" sqref="B15:G20"/>
    </sheetView>
  </sheetViews>
  <sheetFormatPr baseColWidth="10" defaultColWidth="9.109375" defaultRowHeight="14.4" x14ac:dyDescent="0.3"/>
  <cols>
    <col min="1" max="1" width="12" customWidth="1"/>
    <col min="2" max="4" width="30" customWidth="1"/>
    <col min="5" max="7" width="9.5546875" bestFit="1" customWidth="1"/>
  </cols>
  <sheetData>
    <row r="1" spans="1:7" x14ac:dyDescent="0.3">
      <c r="A1" s="5" t="s">
        <v>163</v>
      </c>
      <c r="B1" s="5" t="str">
        <f>Nodes!A2</f>
        <v>D0</v>
      </c>
      <c r="C1" s="5" t="str">
        <f>Nodes!A3</f>
        <v>S01</v>
      </c>
      <c r="D1" s="5" t="str">
        <f>Nodes!A5</f>
        <v>S02</v>
      </c>
      <c r="E1" t="s">
        <v>165</v>
      </c>
      <c r="F1" t="s">
        <v>166</v>
      </c>
      <c r="G1" t="s">
        <v>167</v>
      </c>
    </row>
    <row r="2" spans="1:7" x14ac:dyDescent="0.3">
      <c r="A2" s="3" t="str">
        <f>Nodes!A2</f>
        <v>D0</v>
      </c>
      <c r="B2">
        <v>0</v>
      </c>
      <c r="C2">
        <v>35</v>
      </c>
      <c r="D2">
        <v>65</v>
      </c>
      <c r="E2">
        <v>40</v>
      </c>
      <c r="F2">
        <v>76</v>
      </c>
      <c r="G2">
        <v>50</v>
      </c>
    </row>
    <row r="3" spans="1:7" x14ac:dyDescent="0.3">
      <c r="A3" s="3" t="str">
        <f>Nodes!A3</f>
        <v>S01</v>
      </c>
      <c r="B3">
        <v>35</v>
      </c>
      <c r="C3">
        <v>0</v>
      </c>
      <c r="D3">
        <v>35</v>
      </c>
      <c r="E3">
        <v>60</v>
      </c>
      <c r="F3">
        <v>52</v>
      </c>
      <c r="G3">
        <v>57</v>
      </c>
    </row>
    <row r="4" spans="1:7" x14ac:dyDescent="0.3">
      <c r="A4" s="3" t="str">
        <f>Nodes!A5</f>
        <v>S02</v>
      </c>
      <c r="B4">
        <v>65</v>
      </c>
      <c r="C4">
        <v>35</v>
      </c>
      <c r="D4">
        <v>0</v>
      </c>
      <c r="E4">
        <v>90</v>
      </c>
      <c r="F4">
        <v>25</v>
      </c>
      <c r="G4">
        <v>71</v>
      </c>
    </row>
    <row r="5" spans="1:7" x14ac:dyDescent="0.3">
      <c r="A5" s="3" t="s">
        <v>165</v>
      </c>
      <c r="B5">
        <v>40</v>
      </c>
      <c r="C5">
        <v>60</v>
      </c>
      <c r="D5">
        <v>90</v>
      </c>
      <c r="E5">
        <v>0</v>
      </c>
      <c r="F5">
        <v>70</v>
      </c>
      <c r="G5">
        <v>30</v>
      </c>
    </row>
    <row r="6" spans="1:7" x14ac:dyDescent="0.3">
      <c r="A6" s="3" t="s">
        <v>166</v>
      </c>
      <c r="B6">
        <v>76</v>
      </c>
      <c r="C6">
        <v>52</v>
      </c>
      <c r="D6">
        <v>25</v>
      </c>
      <c r="E6">
        <v>70</v>
      </c>
      <c r="F6">
        <v>0</v>
      </c>
      <c r="G6">
        <v>80</v>
      </c>
    </row>
    <row r="7" spans="1:7" x14ac:dyDescent="0.3">
      <c r="A7" t="s">
        <v>167</v>
      </c>
      <c r="B7">
        <v>50</v>
      </c>
      <c r="C7">
        <v>57</v>
      </c>
      <c r="D7">
        <v>71</v>
      </c>
      <c r="E7">
        <v>30</v>
      </c>
      <c r="F7">
        <v>80</v>
      </c>
      <c r="G7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2026-07-19T10:48:59Z</dcterms:modified>
</cp:coreProperties>
</file>